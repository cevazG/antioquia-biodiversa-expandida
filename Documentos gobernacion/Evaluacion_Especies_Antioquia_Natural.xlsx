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DO" state="visible" r:id="rId4"/>
    <sheet sheetId="2" name="INSTRUCCIONES" state="visible" r:id="rId5"/>
    <sheet sheetId="3" name="Lista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<sst xmlns="http://schemas.openxmlformats.org/spreadsheetml/2006/main" count="342" uniqueCount="164">
  <si>
    <t>EVALUACIÓN DE ESPECIES · Antioquia Natural · Comité Científico Asesor</t>
  </si>
  <si>
    <t>#</t>
  </si>
  <si>
    <t>Fecha</t>
  </si>
  <si>
    <t>Evaluador(es)</t>
  </si>
  <si>
    <t>Nombre científico</t>
  </si>
  <si>
    <t>Nombre común (ES)</t>
  </si>
  <si>
    <t>Grupo</t>
  </si>
  <si>
    <t>Familia taxonómica</t>
  </si>
  <si>
    <t>Subregiones presentes</t>
  </si>
  <si>
    <t xml:space="preserve">P1 · IUCN
(máx. 20)</t>
  </si>
  <si>
    <t xml:space="preserve">P2 · Endemismo
(máx. 20)</t>
  </si>
  <si>
    <t xml:space="preserve">P3 · Rol ecológico
(máx. 15)</t>
  </si>
  <si>
    <t xml:space="preserve">P4 · Rep. geográfica
(máx. 15)</t>
  </si>
  <si>
    <t xml:space="preserve">P5a · Reconocibilidad
(máx. 5)</t>
  </si>
  <si>
    <t xml:space="preserve">P5b · Historia natural
(máx. 5)</t>
  </si>
  <si>
    <t xml:space="preserve">P5c · Valor cultural
(máx. 5)</t>
  </si>
  <si>
    <t xml:space="preserve">P6 · Foto disponible
(máx. 10)</t>
  </si>
  <si>
    <t xml:space="preserve">P7 · Diversidad taxonómica
(máx. 5)</t>
  </si>
  <si>
    <t xml:space="preserve">TOTAL
(/100)</t>
  </si>
  <si>
    <t>Categoría</t>
  </si>
  <si>
    <t>Decisión comité</t>
  </si>
  <si>
    <t>Fuente fotográfica</t>
  </si>
  <si>
    <t>Notas</t>
  </si>
  <si>
    <t>INSTRUCCIONES — Plantilla de Evaluación de Especies · Antioquia Natural</t>
  </si>
  <si>
    <t>¿Cómo usar esta plantilla?</t>
  </si>
  <si>
    <t>1.  Ir a la hoja LISTADO.</t>
  </si>
  <si>
    <t>2.  Completar una fila por especie evaluada.</t>
  </si>
  <si>
    <t>3.  Ingresar los datos de identificación: nombre científico, nombre común, grupo, familia y subregiones (columnas A–H).</t>
  </si>
  <si>
    <t>4.  En las columnas P1–P7 (I–Q) abrir el desplegable y seleccionar la descripción que corresponda a la especie.</t>
  </si>
  <si>
    <t>5.  El TOTAL (col R) y la Categoría (col S) se calculan automáticamente con colores.</t>
  </si>
  <si>
    <t>6.  Registrar la Decisión del comité (col T), la fuente fotográfica (U) y observaciones (V).</t>
  </si>
  <si>
    <t>7.  Usar los filtros de la fila 2 para ver por grupo, categoría, decisión o evaluador.</t>
  </si>
  <si>
    <t>8.  P4 (representación geográfica) y P7 (diversidad taxonómica) son dinámicos — revisar al final de cada sesión.</t>
  </si>
  <si>
    <t>Interpretación del puntaje total (/100)</t>
  </si>
  <si>
    <t>Rango</t>
  </si>
  <si>
    <t>Pts</t>
  </si>
  <si>
    <t>Decisión recomendada</t>
  </si>
  <si>
    <t>80 – 100</t>
  </si>
  <si>
    <t>≥80</t>
  </si>
  <si>
    <t>Prioritaria</t>
  </si>
  <si>
    <t>Debe estar en versión 1.0 sin excepción</t>
  </si>
  <si>
    <t>60 – 79</t>
  </si>
  <si>
    <t>≥60</t>
  </si>
  <si>
    <t>Recomendada</t>
  </si>
  <si>
    <t>Incluir dentro del cupo disponible del grupo</t>
  </si>
  <si>
    <t>40 – 59</t>
  </si>
  <si>
    <t>≥40</t>
  </si>
  <si>
    <t>Condicional</t>
  </si>
  <si>
    <t>Incluir si hay cupo y cumple cuota mínima</t>
  </si>
  <si>
    <t>&lt; 40</t>
  </si>
  <si>
    <t>&lt;40</t>
  </si>
  <si>
    <t>Lista de espera</t>
  </si>
  <si>
    <t>Reservar para Fase 2 o reemplazos</t>
  </si>
  <si>
    <t>P1 · IUCN — (máx. 20)</t>
  </si>
  <si>
    <t>Descripción (opción del desplegable)</t>
  </si>
  <si>
    <t>CR · En peligro crítico</t>
  </si>
  <si>
    <t/>
  </si>
  <si>
    <t>EN · En peligro</t>
  </si>
  <si>
    <t>VU · Vulnerable</t>
  </si>
  <si>
    <t>NT · Casi amenazada</t>
  </si>
  <si>
    <t>DD · Datos insuficientes</t>
  </si>
  <si>
    <t>LC · Preocupación menor</t>
  </si>
  <si>
    <t>P2 · Endemismo — (máx. 20)</t>
  </si>
  <si>
    <t>Endémica de Antioquia</t>
  </si>
  <si>
    <t>Endémica región andina</t>
  </si>
  <si>
    <t>Endémica de Colombia</t>
  </si>
  <si>
    <t>Cuasi-endémica</t>
  </si>
  <si>
    <t>Nativa no endémica</t>
  </si>
  <si>
    <t>Introducida / exótica</t>
  </si>
  <si>
    <t>P3 · Rol ecológico — (máx. 15)</t>
  </si>
  <si>
    <t>Único o insustituible</t>
  </si>
  <si>
    <t>Importante con alternativas</t>
  </si>
  <si>
    <t>Moderado</t>
  </si>
  <si>
    <t>Genérico</t>
  </si>
  <si>
    <t>Sin documentar</t>
  </si>
  <si>
    <t>P4 · Rep. geográfica — (máx. 15)</t>
  </si>
  <si>
    <t>Representante único de subregión</t>
  </si>
  <si>
    <t>Subregiones poco representadas</t>
  </si>
  <si>
    <t>3 a 5 subregiones</t>
  </si>
  <si>
    <t>Distribución amplia (6-9 subr.)</t>
  </si>
  <si>
    <t>P5a · Reconocibilidad — (máx. 5)</t>
  </si>
  <si>
    <t>Alta</t>
  </si>
  <si>
    <t>Media</t>
  </si>
  <si>
    <t>Baja</t>
  </si>
  <si>
    <t>P5b · Historia natural — (máx. 5)</t>
  </si>
  <si>
    <t>Rica</t>
  </si>
  <si>
    <t>Moderada</t>
  </si>
  <si>
    <t>Pobre</t>
  </si>
  <si>
    <t>P5c · Valor cultural — (máx. 5)</t>
  </si>
  <si>
    <t>Alto</t>
  </si>
  <si>
    <t>Medio</t>
  </si>
  <si>
    <t>Bajo</t>
  </si>
  <si>
    <t>P6 · Foto disponible — (máx. 10)</t>
  </si>
  <si>
    <t>A · Foto propia disponible</t>
  </si>
  <si>
    <t>B · Foto libre (CC) disponible</t>
  </si>
  <si>
    <t>C · Foto encargable a corto plazo</t>
  </si>
  <si>
    <t>D · Foto difícil o largo plazo</t>
  </si>
  <si>
    <t>P7 · Diversidad taxonómica — (máx. 5)</t>
  </si>
  <si>
    <t>Familia sin representantes</t>
  </si>
  <si>
    <t>Familia con 1 representante</t>
  </si>
  <si>
    <t>Familia con 2 representantes</t>
  </si>
  <si>
    <t>Familia con 3+ representantes</t>
  </si>
  <si>
    <t>Cuotas mínimas por grupo taxonómico</t>
  </si>
  <si>
    <t>Cupo sugerido</t>
  </si>
  <si>
    <t>Cupo mínimo</t>
  </si>
  <si>
    <t>🦜  Aves</t>
  </si>
  <si>
    <t>🐸  Anfibios y Reptiles</t>
  </si>
  <si>
    <t>🦋  Mariposas</t>
  </si>
  <si>
    <t>🌸  Orquídeas</t>
  </si>
  <si>
    <t>🌳  Árboles Nativos</t>
  </si>
  <si>
    <t>🐟  Peces de Agua Dulce</t>
  </si>
  <si>
    <t>🦌  Mamíferos</t>
  </si>
  <si>
    <t>🦗  Polillas</t>
  </si>
  <si>
    <t>🐄  Animales Domésticos</t>
  </si>
  <si>
    <t>P2: usar criterio de raza criolla colombiana</t>
  </si>
  <si>
    <t>TOTAL</t>
  </si>
  <si>
    <t>150 ± 8 margen de ajuste permitido</t>
  </si>
  <si>
    <t>Grupos de biodiversidad</t>
  </si>
  <si>
    <t>Aves</t>
  </si>
  <si>
    <t>Anfibios y Reptiles</t>
  </si>
  <si>
    <t>Mariposas</t>
  </si>
  <si>
    <t>Polillas</t>
  </si>
  <si>
    <t>Mamíferos</t>
  </si>
  <si>
    <t>Animales Domésticos</t>
  </si>
  <si>
    <t>Peces de Agua Dulce</t>
  </si>
  <si>
    <t>Orquídeas</t>
  </si>
  <si>
    <t>Árboles Nativos</t>
  </si>
  <si>
    <t>Descripción</t>
  </si>
  <si>
    <t>Puntaje</t>
  </si>
  <si>
    <t>Subregiones de Antioquia</t>
  </si>
  <si>
    <t>Subregión</t>
  </si>
  <si>
    <t>Valle de Aburrá</t>
  </si>
  <si>
    <t>Oriente</t>
  </si>
  <si>
    <t>Suroeste</t>
  </si>
  <si>
    <t>Norte</t>
  </si>
  <si>
    <t>Occidente</t>
  </si>
  <si>
    <t>Urabá</t>
  </si>
  <si>
    <t>Bajo Cauca</t>
  </si>
  <si>
    <t>Nordeste</t>
  </si>
  <si>
    <t>Magdalena Medio</t>
  </si>
  <si>
    <t>Opciones de decisión del comité</t>
  </si>
  <si>
    <t>Decisión</t>
  </si>
  <si>
    <t>Incluida</t>
  </si>
  <si>
    <t>Especie aprobada para la versión 1.0</t>
  </si>
  <si>
    <t>Puntaje insuficiente; reservar para Fase 2</t>
  </si>
  <si>
    <t>Excluida</t>
  </si>
  <si>
    <t>No cumple criterios mínimos</t>
  </si>
  <si>
    <t>Pendiente revisión</t>
  </si>
  <si>
    <t>Requiere más información antes de decidir</t>
  </si>
  <si>
    <t>RESUMEN DE EVALUACIÓN · Antioquia Natural · Comité Científico Asesor</t>
  </si>
  <si>
    <t>Totales generales</t>
  </si>
  <si>
    <t>Total especies evaluadas</t>
  </si>
  <si>
    <t>Prioritarias (puntaje ≥ 80)</t>
  </si>
  <si>
    <t>Recomendadas (60 – 79 pts)</t>
  </si>
  <si>
    <t>Condicionales (40 – 59 pts)</t>
  </si>
  <si>
    <t>Lista de espera (&lt; 40 pts)</t>
  </si>
  <si>
    <t>Puntaje promedio</t>
  </si>
  <si>
    <t>Por grupo taxonómico</t>
  </si>
  <si>
    <t>Evaluadas</t>
  </si>
  <si>
    <t>Lista espera</t>
  </si>
  <si>
    <t>Promedio</t>
  </si>
  <si>
    <t>Top 150 — mayor puntaje</t>
  </si>
  <si>
    <t>Pos.</t>
  </si>
  <si>
    <t>Nombre común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</si>
</sst>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color rgb="FF9E9E9E"/>
      <sz val="9"/>
      <name val="Calibri"/>
    </font>
    <font>
      <sz val="10"/>
      <name val="Calibri"/>
    </font>
    <font>
      <b/>
      <sz val="11"/>
      <name val="Calibri"/>
    </font>
    <font>
      <b/>
      <sz val="10"/>
      <name val="Calibri"/>
    </font>
    <font>
      <b/>
      <color rgb="FFFFFFFF"/>
      <sz val="11"/>
      <name val="Calibri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5640"/>
      </patternFill>
    </fill>
    <fill>
      <patternFill patternType="solid">
        <fgColor rgb="FF018D38"/>
      </patternFill>
    </fill>
    <fill>
      <patternFill patternType="solid">
        <fgColor rgb="FF2E7D32"/>
      </patternFill>
    </fill>
    <fill>
      <patternFill patternType="solid">
        <fgColor rgb="FF546E7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" fontId="5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wrapText="1" indent="2"/>
    </xf>
    <xf numFmtId="0" fontId="4" fillId="7" borderId="0" xfId="0" applyFont="1" applyFill="1" applyAlignment="1">
      <alignment horizontal="left" vertical="center" wrapText="1" indent="2"/>
    </xf>
    <xf numFmtId="0" fontId="2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165" fontId="4" fillId="7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name val="Calibri"/>
      </font>
      <fill>
        <patternFill patternType="solid">
          <bgColor rgb="FFC8E6C9"/>
        </patternFill>
      </fill>
    </dxf>
    <dxf>
      <font>
        <b/>
        <name val="Calibri"/>
      </font>
      <fill>
        <patternFill patternType="solid">
          <bgColor rgb="FFFFF9C4"/>
        </patternFill>
      </fill>
    </dxf>
    <dxf>
      <font>
        <b/>
        <name val="Calibri"/>
      </font>
      <fill>
        <patternFill patternType="solid">
          <bgColor rgb="FFFFE0B2"/>
        </patternFill>
      </fill>
    </dxf>
    <dxf>
      <font>
        <b/>
        <name val="Calibri"/>
      </font>
      <fill>
        <patternFill patternType="solid">
          <bgColor rgb="FFFFCDD2"/>
        </patternFill>
      </fill>
    </dxf>
    <dxf>
      <fill>
        <patternFill patternType="solid">
          <bgColor rgb="FFC8E6C9"/>
        </patternFill>
      </fill>
    </dxf>
    <dxf>
      <fill>
        <patternFill patternType="solid">
          <bgColor rgb="FFFFF9C4"/>
        </patternFill>
      </fill>
    </dxf>
    <dxf>
      <fill>
        <patternFill patternType="solid">
          <bgColor rgb="FFFFE0B2"/>
        </patternFill>
      </fill>
    </dxf>
    <dxf>
      <fill>
        <patternFill patternType="solid">
          <bgColor rgb="FFFFCDD2"/>
        </patternFill>
      </fill>
    </dxf>
    <dxf>
      <font>
        <b/>
        <name val="Calibri"/>
      </font>
      <fill>
        <patternFill patternType="solid">
          <bgColor rgb="FFC8E6C9"/>
        </patternFill>
      </fill>
    </dxf>
    <dxf>
      <font>
        <b/>
        <name val="Calibri"/>
      </font>
      <fill>
        <patternFill patternType="solid">
          <bgColor rgb="FFFFF9C4"/>
        </patternFill>
      </fill>
    </dxf>
    <dxf>
      <font>
        <b/>
        <name val="Calibri"/>
      </font>
      <fill>
        <patternFill patternType="solid">
          <bgColor rgb="FFFFE0B2"/>
        </patternFill>
      </fill>
    </dxf>
    <dxf>
      <font>
        <b/>
        <name val="Calibri"/>
      </font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2"/>
  <sheetViews>
    <sheetView workbookViewId="0">
      <pane xSplit="5" ySplit="2" topLeftCell="F3" activePane="bottomRight" state="frozen"/>
      <selection pane="bottomRight"/>
    </sheetView>
  </sheetViews>
  <sheetFormatPr defaultRowHeight="15" outlineLevelRow="0" outlineLevelCol="0" x14ac:dyDescent="55"/>
  <cols>
    <col min="1" max="1" width="4" customWidth="1"/>
    <col min="2" max="2" width="11" customWidth="1"/>
    <col min="3" max="3" width="18" customWidth="1"/>
    <col min="4" max="4" width="26" customWidth="1"/>
    <col min="5" max="5" width="22" customWidth="1"/>
    <col min="6" max="7" width="18" customWidth="1"/>
    <col min="8" max="8" width="28" customWidth="1"/>
    <col min="9" max="11" width="18" customWidth="1"/>
    <col min="12" max="12" width="22" customWidth="1"/>
    <col min="13" max="15" width="14" customWidth="1"/>
    <col min="16" max="17" width="22" customWidth="1"/>
    <col min="18" max="18" width="8" customWidth="1"/>
    <col min="19" max="19" width="15" customWidth="1"/>
    <col min="20" max="20" width="18" customWidth="1"/>
    <col min="21" max="21" width="28" customWidth="1"/>
    <col min="22" max="22" width="35" customWidth="1"/>
  </cols>
  <sheetData>
    <row r="1" ht="28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44" customHeight="1" spans="1:2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5" t="s">
        <v>20</v>
      </c>
      <c r="U2" s="5" t="s">
        <v>21</v>
      </c>
      <c r="V2" s="5" t="s">
        <v>22</v>
      </c>
    </row>
    <row r="3" ht="18" customHeight="1" spans="1:22" x14ac:dyDescent="0.25">
      <c r="A3" s="6">
        <v>1</v>
      </c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>
        <f>=IF(I3="","",IFERROR(IFERROR(VLOOKUP(I3,Listas!$A$15:$B$20,2,0),0)+IFERROR(VLOOKUP(J3,Listas!$A$24:$B$29,2,0),0)+IFERROR(VLOOKUP(K3,Listas!$A$33:$B$37,2,0),0)+IFERROR(VLOOKUP(L3,Listas!$A$41:$B$44,2,0),0)+IFERROR(VLOOKUP(M3,Listas!$A$48:$B$50,2,0),0)+IFERROR(VLOOKUP(N3,Listas!$A$54:$B$56,2,0),0)+IFERROR(VLOOKUP(O3,Listas!$A$60:$B$62,2,0),0)+IFERROR(VLOOKUP(P3,Listas!$A$66:$B$69,2,0),0)+IFERROR(VLOOKUP(Q3,Listas!$A$73:$B$76,2,0),0),0))</f>
      </c>
      <c r="S3" s="10">
        <f>=IF(I3="","",IF(R3&gt;=80,"Prioritaria",IF(R3&gt;=60,"Recomendada",IF(R3&gt;=40,"Condicional","Lista de espera"))))</f>
      </c>
      <c r="T3" s="11"/>
      <c r="U3" s="8"/>
      <c r="V3" s="8"/>
    </row>
    <row r="4" ht="18" customHeight="1" spans="1:22" x14ac:dyDescent="0.25">
      <c r="A4" s="12">
        <v>2</v>
      </c>
      <c r="B4" s="13"/>
      <c r="C4" s="14"/>
      <c r="D4" s="14"/>
      <c r="E4" s="14"/>
      <c r="F4" s="14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6">
        <f>=IF(I4="","",IFERROR(IFERROR(VLOOKUP(I4,Listas!$A$15:$B$20,2,0),0)+IFERROR(VLOOKUP(J4,Listas!$A$24:$B$29,2,0),0)+IFERROR(VLOOKUP(K4,Listas!$A$33:$B$37,2,0),0)+IFERROR(VLOOKUP(L4,Listas!$A$41:$B$44,2,0),0)+IFERROR(VLOOKUP(M4,Listas!$A$48:$B$50,2,0),0)+IFERROR(VLOOKUP(N4,Listas!$A$54:$B$56,2,0),0)+IFERROR(VLOOKUP(O4,Listas!$A$60:$B$62,2,0),0)+IFERROR(VLOOKUP(P4,Listas!$A$66:$B$69,2,0),0)+IFERROR(VLOOKUP(Q4,Listas!$A$73:$B$76,2,0),0),0))</f>
      </c>
      <c r="S4" s="17">
        <f>=IF(I4="","",IF(R4&gt;=80,"Prioritaria",IF(R4&gt;=60,"Recomendada",IF(R4&gt;=40,"Condicional","Lista de espera"))))</f>
      </c>
      <c r="T4" s="18"/>
      <c r="U4" s="14"/>
      <c r="V4" s="14"/>
    </row>
    <row r="5" ht="18" customHeight="1" spans="1:22" x14ac:dyDescent="0.25">
      <c r="A5" s="6">
        <v>3</v>
      </c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>
        <f>=IF(I5="","",IFERROR(IFERROR(VLOOKUP(I5,Listas!$A$15:$B$20,2,0),0)+IFERROR(VLOOKUP(J5,Listas!$A$24:$B$29,2,0),0)+IFERROR(VLOOKUP(K5,Listas!$A$33:$B$37,2,0),0)+IFERROR(VLOOKUP(L5,Listas!$A$41:$B$44,2,0),0)+IFERROR(VLOOKUP(M5,Listas!$A$48:$B$50,2,0),0)+IFERROR(VLOOKUP(N5,Listas!$A$54:$B$56,2,0),0)+IFERROR(VLOOKUP(O5,Listas!$A$60:$B$62,2,0),0)+IFERROR(VLOOKUP(P5,Listas!$A$66:$B$69,2,0),0)+IFERROR(VLOOKUP(Q5,Listas!$A$73:$B$76,2,0),0),0))</f>
      </c>
      <c r="S5" s="10">
        <f>=IF(I5="","",IF(R5&gt;=80,"Prioritaria",IF(R5&gt;=60,"Recomendada",IF(R5&gt;=40,"Condicional","Lista de espera"))))</f>
      </c>
      <c r="T5" s="11"/>
      <c r="U5" s="8"/>
      <c r="V5" s="8"/>
    </row>
    <row r="6" ht="18" customHeight="1" spans="1:22" x14ac:dyDescent="0.25">
      <c r="A6" s="12">
        <v>4</v>
      </c>
      <c r="B6" s="13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6">
        <f>=IF(I6="","",IFERROR(IFERROR(VLOOKUP(I6,Listas!$A$15:$B$20,2,0),0)+IFERROR(VLOOKUP(J6,Listas!$A$24:$B$29,2,0),0)+IFERROR(VLOOKUP(K6,Listas!$A$33:$B$37,2,0),0)+IFERROR(VLOOKUP(L6,Listas!$A$41:$B$44,2,0),0)+IFERROR(VLOOKUP(M6,Listas!$A$48:$B$50,2,0),0)+IFERROR(VLOOKUP(N6,Listas!$A$54:$B$56,2,0),0)+IFERROR(VLOOKUP(O6,Listas!$A$60:$B$62,2,0),0)+IFERROR(VLOOKUP(P6,Listas!$A$66:$B$69,2,0),0)+IFERROR(VLOOKUP(Q6,Listas!$A$73:$B$76,2,0),0),0))</f>
      </c>
      <c r="S6" s="17">
        <f>=IF(I6="","",IF(R6&gt;=80,"Prioritaria",IF(R6&gt;=60,"Recomendada",IF(R6&gt;=40,"Condicional","Lista de espera"))))</f>
      </c>
      <c r="T6" s="18"/>
      <c r="U6" s="14"/>
      <c r="V6" s="14"/>
    </row>
    <row r="7" ht="18" customHeight="1" spans="1:22" x14ac:dyDescent="0.25">
      <c r="A7" s="6">
        <v>5</v>
      </c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>
        <f>=IF(I7="","",IFERROR(IFERROR(VLOOKUP(I7,Listas!$A$15:$B$20,2,0),0)+IFERROR(VLOOKUP(J7,Listas!$A$24:$B$29,2,0),0)+IFERROR(VLOOKUP(K7,Listas!$A$33:$B$37,2,0),0)+IFERROR(VLOOKUP(L7,Listas!$A$41:$B$44,2,0),0)+IFERROR(VLOOKUP(M7,Listas!$A$48:$B$50,2,0),0)+IFERROR(VLOOKUP(N7,Listas!$A$54:$B$56,2,0),0)+IFERROR(VLOOKUP(O7,Listas!$A$60:$B$62,2,0),0)+IFERROR(VLOOKUP(P7,Listas!$A$66:$B$69,2,0),0)+IFERROR(VLOOKUP(Q7,Listas!$A$73:$B$76,2,0),0),0))</f>
      </c>
      <c r="S7" s="10">
        <f>=IF(I7="","",IF(R7&gt;=80,"Prioritaria",IF(R7&gt;=60,"Recomendada",IF(R7&gt;=40,"Condicional","Lista de espera"))))</f>
      </c>
      <c r="T7" s="11"/>
      <c r="U7" s="8"/>
      <c r="V7" s="8"/>
    </row>
    <row r="8" ht="18" customHeight="1" spans="1:22" x14ac:dyDescent="0.25">
      <c r="A8" s="12">
        <v>6</v>
      </c>
      <c r="B8" s="13"/>
      <c r="C8" s="14"/>
      <c r="D8" s="14"/>
      <c r="E8" s="14"/>
      <c r="F8" s="14"/>
      <c r="G8" s="14"/>
      <c r="H8" s="14"/>
      <c r="I8" s="15"/>
      <c r="J8" s="15"/>
      <c r="K8" s="15"/>
      <c r="L8" s="15"/>
      <c r="M8" s="15"/>
      <c r="N8" s="15"/>
      <c r="O8" s="15"/>
      <c r="P8" s="15"/>
      <c r="Q8" s="15"/>
      <c r="R8" s="16">
        <f>=IF(I8="","",IFERROR(IFERROR(VLOOKUP(I8,Listas!$A$15:$B$20,2,0),0)+IFERROR(VLOOKUP(J8,Listas!$A$24:$B$29,2,0),0)+IFERROR(VLOOKUP(K8,Listas!$A$33:$B$37,2,0),0)+IFERROR(VLOOKUP(L8,Listas!$A$41:$B$44,2,0),0)+IFERROR(VLOOKUP(M8,Listas!$A$48:$B$50,2,0),0)+IFERROR(VLOOKUP(N8,Listas!$A$54:$B$56,2,0),0)+IFERROR(VLOOKUP(O8,Listas!$A$60:$B$62,2,0),0)+IFERROR(VLOOKUP(P8,Listas!$A$66:$B$69,2,0),0)+IFERROR(VLOOKUP(Q8,Listas!$A$73:$B$76,2,0),0),0))</f>
      </c>
      <c r="S8" s="17">
        <f>=IF(I8="","",IF(R8&gt;=80,"Prioritaria",IF(R8&gt;=60,"Recomendada",IF(R8&gt;=40,"Condicional","Lista de espera"))))</f>
      </c>
      <c r="T8" s="18"/>
      <c r="U8" s="14"/>
      <c r="V8" s="14"/>
    </row>
    <row r="9" ht="18" customHeight="1" spans="1:22" x14ac:dyDescent="0.25">
      <c r="A9" s="6">
        <v>7</v>
      </c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>
        <f>=IF(I9="","",IFERROR(IFERROR(VLOOKUP(I9,Listas!$A$15:$B$20,2,0),0)+IFERROR(VLOOKUP(J9,Listas!$A$24:$B$29,2,0),0)+IFERROR(VLOOKUP(K9,Listas!$A$33:$B$37,2,0),0)+IFERROR(VLOOKUP(L9,Listas!$A$41:$B$44,2,0),0)+IFERROR(VLOOKUP(M9,Listas!$A$48:$B$50,2,0),0)+IFERROR(VLOOKUP(N9,Listas!$A$54:$B$56,2,0),0)+IFERROR(VLOOKUP(O9,Listas!$A$60:$B$62,2,0),0)+IFERROR(VLOOKUP(P9,Listas!$A$66:$B$69,2,0),0)+IFERROR(VLOOKUP(Q9,Listas!$A$73:$B$76,2,0),0),0))</f>
      </c>
      <c r="S9" s="10">
        <f>=IF(I9="","",IF(R9&gt;=80,"Prioritaria",IF(R9&gt;=60,"Recomendada",IF(R9&gt;=40,"Condicional","Lista de espera"))))</f>
      </c>
      <c r="T9" s="11"/>
      <c r="U9" s="8"/>
      <c r="V9" s="8"/>
    </row>
    <row r="10" ht="18" customHeight="1" spans="1:22" x14ac:dyDescent="0.25">
      <c r="A10" s="12">
        <v>8</v>
      </c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6">
        <f>=IF(I10="","",IFERROR(IFERROR(VLOOKUP(I10,Listas!$A$15:$B$20,2,0),0)+IFERROR(VLOOKUP(J10,Listas!$A$24:$B$29,2,0),0)+IFERROR(VLOOKUP(K10,Listas!$A$33:$B$37,2,0),0)+IFERROR(VLOOKUP(L10,Listas!$A$41:$B$44,2,0),0)+IFERROR(VLOOKUP(M10,Listas!$A$48:$B$50,2,0),0)+IFERROR(VLOOKUP(N10,Listas!$A$54:$B$56,2,0),0)+IFERROR(VLOOKUP(O10,Listas!$A$60:$B$62,2,0),0)+IFERROR(VLOOKUP(P10,Listas!$A$66:$B$69,2,0),0)+IFERROR(VLOOKUP(Q10,Listas!$A$73:$B$76,2,0),0),0))</f>
      </c>
      <c r="S10" s="17">
        <f>=IF(I10="","",IF(R10&gt;=80,"Prioritaria",IF(R10&gt;=60,"Recomendada",IF(R10&gt;=40,"Condicional","Lista de espera"))))</f>
      </c>
      <c r="T10" s="18"/>
      <c r="U10" s="14"/>
      <c r="V10" s="14"/>
    </row>
    <row r="11" ht="18" customHeight="1" spans="1:22" x14ac:dyDescent="0.25">
      <c r="A11" s="6">
        <v>9</v>
      </c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>
        <f>=IF(I11="","",IFERROR(IFERROR(VLOOKUP(I11,Listas!$A$15:$B$20,2,0),0)+IFERROR(VLOOKUP(J11,Listas!$A$24:$B$29,2,0),0)+IFERROR(VLOOKUP(K11,Listas!$A$33:$B$37,2,0),0)+IFERROR(VLOOKUP(L11,Listas!$A$41:$B$44,2,0),0)+IFERROR(VLOOKUP(M11,Listas!$A$48:$B$50,2,0),0)+IFERROR(VLOOKUP(N11,Listas!$A$54:$B$56,2,0),0)+IFERROR(VLOOKUP(O11,Listas!$A$60:$B$62,2,0),0)+IFERROR(VLOOKUP(P11,Listas!$A$66:$B$69,2,0),0)+IFERROR(VLOOKUP(Q11,Listas!$A$73:$B$76,2,0),0),0))</f>
      </c>
      <c r="S11" s="10">
        <f>=IF(I11="","",IF(R11&gt;=80,"Prioritaria",IF(R11&gt;=60,"Recomendada",IF(R11&gt;=40,"Condicional","Lista de espera"))))</f>
      </c>
      <c r="T11" s="11"/>
      <c r="U11" s="8"/>
      <c r="V11" s="8"/>
    </row>
    <row r="12" ht="18" customHeight="1" spans="1:22" x14ac:dyDescent="0.25">
      <c r="A12" s="12">
        <v>10</v>
      </c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6">
        <f>=IF(I12="","",IFERROR(IFERROR(VLOOKUP(I12,Listas!$A$15:$B$20,2,0),0)+IFERROR(VLOOKUP(J12,Listas!$A$24:$B$29,2,0),0)+IFERROR(VLOOKUP(K12,Listas!$A$33:$B$37,2,0),0)+IFERROR(VLOOKUP(L12,Listas!$A$41:$B$44,2,0),0)+IFERROR(VLOOKUP(M12,Listas!$A$48:$B$50,2,0),0)+IFERROR(VLOOKUP(N12,Listas!$A$54:$B$56,2,0),0)+IFERROR(VLOOKUP(O12,Listas!$A$60:$B$62,2,0),0)+IFERROR(VLOOKUP(P12,Listas!$A$66:$B$69,2,0),0)+IFERROR(VLOOKUP(Q12,Listas!$A$73:$B$76,2,0),0),0))</f>
      </c>
      <c r="S12" s="17">
        <f>=IF(I12="","",IF(R12&gt;=80,"Prioritaria",IF(R12&gt;=60,"Recomendada",IF(R12&gt;=40,"Condicional","Lista de espera"))))</f>
      </c>
      <c r="T12" s="18"/>
      <c r="U12" s="14"/>
      <c r="V12" s="14"/>
    </row>
    <row r="13" ht="18" customHeight="1" spans="1:22" x14ac:dyDescent="0.25">
      <c r="A13" s="6">
        <v>11</v>
      </c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>
        <f>=IF(I13="","",IFERROR(IFERROR(VLOOKUP(I13,Listas!$A$15:$B$20,2,0),0)+IFERROR(VLOOKUP(J13,Listas!$A$24:$B$29,2,0),0)+IFERROR(VLOOKUP(K13,Listas!$A$33:$B$37,2,0),0)+IFERROR(VLOOKUP(L13,Listas!$A$41:$B$44,2,0),0)+IFERROR(VLOOKUP(M13,Listas!$A$48:$B$50,2,0),0)+IFERROR(VLOOKUP(N13,Listas!$A$54:$B$56,2,0),0)+IFERROR(VLOOKUP(O13,Listas!$A$60:$B$62,2,0),0)+IFERROR(VLOOKUP(P13,Listas!$A$66:$B$69,2,0),0)+IFERROR(VLOOKUP(Q13,Listas!$A$73:$B$76,2,0),0),0))</f>
      </c>
      <c r="S13" s="10">
        <f>=IF(I13="","",IF(R13&gt;=80,"Prioritaria",IF(R13&gt;=60,"Recomendada",IF(R13&gt;=40,"Condicional","Lista de espera"))))</f>
      </c>
      <c r="T13" s="11"/>
      <c r="U13" s="8"/>
      <c r="V13" s="8"/>
    </row>
    <row r="14" ht="18" customHeight="1" spans="1:22" x14ac:dyDescent="0.25">
      <c r="A14" s="12">
        <v>12</v>
      </c>
      <c r="B14" s="13"/>
      <c r="C14" s="14"/>
      <c r="D14" s="14"/>
      <c r="E14" s="14"/>
      <c r="F14" s="14"/>
      <c r="G14" s="14"/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6">
        <f>=IF(I14="","",IFERROR(IFERROR(VLOOKUP(I14,Listas!$A$15:$B$20,2,0),0)+IFERROR(VLOOKUP(J14,Listas!$A$24:$B$29,2,0),0)+IFERROR(VLOOKUP(K14,Listas!$A$33:$B$37,2,0),0)+IFERROR(VLOOKUP(L14,Listas!$A$41:$B$44,2,0),0)+IFERROR(VLOOKUP(M14,Listas!$A$48:$B$50,2,0),0)+IFERROR(VLOOKUP(N14,Listas!$A$54:$B$56,2,0),0)+IFERROR(VLOOKUP(O14,Listas!$A$60:$B$62,2,0),0)+IFERROR(VLOOKUP(P14,Listas!$A$66:$B$69,2,0),0)+IFERROR(VLOOKUP(Q14,Listas!$A$73:$B$76,2,0),0),0))</f>
      </c>
      <c r="S14" s="17">
        <f>=IF(I14="","",IF(R14&gt;=80,"Prioritaria",IF(R14&gt;=60,"Recomendada",IF(R14&gt;=40,"Condicional","Lista de espera"))))</f>
      </c>
      <c r="T14" s="18"/>
      <c r="U14" s="14"/>
      <c r="V14" s="14"/>
    </row>
    <row r="15" ht="18" customHeight="1" spans="1:22" x14ac:dyDescent="0.25">
      <c r="A15" s="6">
        <v>13</v>
      </c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>
        <f>=IF(I15="","",IFERROR(IFERROR(VLOOKUP(I15,Listas!$A$15:$B$20,2,0),0)+IFERROR(VLOOKUP(J15,Listas!$A$24:$B$29,2,0),0)+IFERROR(VLOOKUP(K15,Listas!$A$33:$B$37,2,0),0)+IFERROR(VLOOKUP(L15,Listas!$A$41:$B$44,2,0),0)+IFERROR(VLOOKUP(M15,Listas!$A$48:$B$50,2,0),0)+IFERROR(VLOOKUP(N15,Listas!$A$54:$B$56,2,0),0)+IFERROR(VLOOKUP(O15,Listas!$A$60:$B$62,2,0),0)+IFERROR(VLOOKUP(P15,Listas!$A$66:$B$69,2,0),0)+IFERROR(VLOOKUP(Q15,Listas!$A$73:$B$76,2,0),0),0))</f>
      </c>
      <c r="S15" s="10">
        <f>=IF(I15="","",IF(R15&gt;=80,"Prioritaria",IF(R15&gt;=60,"Recomendada",IF(R15&gt;=40,"Condicional","Lista de espera"))))</f>
      </c>
      <c r="T15" s="11"/>
      <c r="U15" s="8"/>
      <c r="V15" s="8"/>
    </row>
    <row r="16" ht="18" customHeight="1" spans="1:22" x14ac:dyDescent="0.25">
      <c r="A16" s="12">
        <v>14</v>
      </c>
      <c r="B16" s="13"/>
      <c r="C16" s="14"/>
      <c r="D16" s="14"/>
      <c r="E16" s="14"/>
      <c r="F16" s="14"/>
      <c r="G16" s="14"/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6">
        <f>=IF(I16="","",IFERROR(IFERROR(VLOOKUP(I16,Listas!$A$15:$B$20,2,0),0)+IFERROR(VLOOKUP(J16,Listas!$A$24:$B$29,2,0),0)+IFERROR(VLOOKUP(K16,Listas!$A$33:$B$37,2,0),0)+IFERROR(VLOOKUP(L16,Listas!$A$41:$B$44,2,0),0)+IFERROR(VLOOKUP(M16,Listas!$A$48:$B$50,2,0),0)+IFERROR(VLOOKUP(N16,Listas!$A$54:$B$56,2,0),0)+IFERROR(VLOOKUP(O16,Listas!$A$60:$B$62,2,0),0)+IFERROR(VLOOKUP(P16,Listas!$A$66:$B$69,2,0),0)+IFERROR(VLOOKUP(Q16,Listas!$A$73:$B$76,2,0),0),0))</f>
      </c>
      <c r="S16" s="17">
        <f>=IF(I16="","",IF(R16&gt;=80,"Prioritaria",IF(R16&gt;=60,"Recomendada",IF(R16&gt;=40,"Condicional","Lista de espera"))))</f>
      </c>
      <c r="T16" s="18"/>
      <c r="U16" s="14"/>
      <c r="V16" s="14"/>
    </row>
    <row r="17" ht="18" customHeight="1" spans="1:22" x14ac:dyDescent="0.25">
      <c r="A17" s="6">
        <v>15</v>
      </c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>
        <f>=IF(I17="","",IFERROR(IFERROR(VLOOKUP(I17,Listas!$A$15:$B$20,2,0),0)+IFERROR(VLOOKUP(J17,Listas!$A$24:$B$29,2,0),0)+IFERROR(VLOOKUP(K17,Listas!$A$33:$B$37,2,0),0)+IFERROR(VLOOKUP(L17,Listas!$A$41:$B$44,2,0),0)+IFERROR(VLOOKUP(M17,Listas!$A$48:$B$50,2,0),0)+IFERROR(VLOOKUP(N17,Listas!$A$54:$B$56,2,0),0)+IFERROR(VLOOKUP(O17,Listas!$A$60:$B$62,2,0),0)+IFERROR(VLOOKUP(P17,Listas!$A$66:$B$69,2,0),0)+IFERROR(VLOOKUP(Q17,Listas!$A$73:$B$76,2,0),0),0))</f>
      </c>
      <c r="S17" s="10">
        <f>=IF(I17="","",IF(R17&gt;=80,"Prioritaria",IF(R17&gt;=60,"Recomendada",IF(R17&gt;=40,"Condicional","Lista de espera"))))</f>
      </c>
      <c r="T17" s="11"/>
      <c r="U17" s="8"/>
      <c r="V17" s="8"/>
    </row>
    <row r="18" ht="18" customHeight="1" spans="1:22" x14ac:dyDescent="0.25">
      <c r="A18" s="12">
        <v>16</v>
      </c>
      <c r="B18" s="13"/>
      <c r="C18" s="14"/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6">
        <f>=IF(I18="","",IFERROR(IFERROR(VLOOKUP(I18,Listas!$A$15:$B$20,2,0),0)+IFERROR(VLOOKUP(J18,Listas!$A$24:$B$29,2,0),0)+IFERROR(VLOOKUP(K18,Listas!$A$33:$B$37,2,0),0)+IFERROR(VLOOKUP(L18,Listas!$A$41:$B$44,2,0),0)+IFERROR(VLOOKUP(M18,Listas!$A$48:$B$50,2,0),0)+IFERROR(VLOOKUP(N18,Listas!$A$54:$B$56,2,0),0)+IFERROR(VLOOKUP(O18,Listas!$A$60:$B$62,2,0),0)+IFERROR(VLOOKUP(P18,Listas!$A$66:$B$69,2,0),0)+IFERROR(VLOOKUP(Q18,Listas!$A$73:$B$76,2,0),0),0))</f>
      </c>
      <c r="S18" s="17">
        <f>=IF(I18="","",IF(R18&gt;=80,"Prioritaria",IF(R18&gt;=60,"Recomendada",IF(R18&gt;=40,"Condicional","Lista de espera"))))</f>
      </c>
      <c r="T18" s="18"/>
      <c r="U18" s="14"/>
      <c r="V18" s="14"/>
    </row>
    <row r="19" ht="18" customHeight="1" spans="1:22" x14ac:dyDescent="0.25">
      <c r="A19" s="6">
        <v>17</v>
      </c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>
        <f>=IF(I19="","",IFERROR(IFERROR(VLOOKUP(I19,Listas!$A$15:$B$20,2,0),0)+IFERROR(VLOOKUP(J19,Listas!$A$24:$B$29,2,0),0)+IFERROR(VLOOKUP(K19,Listas!$A$33:$B$37,2,0),0)+IFERROR(VLOOKUP(L19,Listas!$A$41:$B$44,2,0),0)+IFERROR(VLOOKUP(M19,Listas!$A$48:$B$50,2,0),0)+IFERROR(VLOOKUP(N19,Listas!$A$54:$B$56,2,0),0)+IFERROR(VLOOKUP(O19,Listas!$A$60:$B$62,2,0),0)+IFERROR(VLOOKUP(P19,Listas!$A$66:$B$69,2,0),0)+IFERROR(VLOOKUP(Q19,Listas!$A$73:$B$76,2,0),0),0))</f>
      </c>
      <c r="S19" s="10">
        <f>=IF(I19="","",IF(R19&gt;=80,"Prioritaria",IF(R19&gt;=60,"Recomendada",IF(R19&gt;=40,"Condicional","Lista de espera"))))</f>
      </c>
      <c r="T19" s="11"/>
      <c r="U19" s="8"/>
      <c r="V19" s="8"/>
    </row>
    <row r="20" ht="18" customHeight="1" spans="1:22" x14ac:dyDescent="0.25">
      <c r="A20" s="12">
        <v>18</v>
      </c>
      <c r="B20" s="13"/>
      <c r="C20" s="14"/>
      <c r="D20" s="14"/>
      <c r="E20" s="14"/>
      <c r="F20" s="14"/>
      <c r="G20" s="14"/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6">
        <f>=IF(I20="","",IFERROR(IFERROR(VLOOKUP(I20,Listas!$A$15:$B$20,2,0),0)+IFERROR(VLOOKUP(J20,Listas!$A$24:$B$29,2,0),0)+IFERROR(VLOOKUP(K20,Listas!$A$33:$B$37,2,0),0)+IFERROR(VLOOKUP(L20,Listas!$A$41:$B$44,2,0),0)+IFERROR(VLOOKUP(M20,Listas!$A$48:$B$50,2,0),0)+IFERROR(VLOOKUP(N20,Listas!$A$54:$B$56,2,0),0)+IFERROR(VLOOKUP(O20,Listas!$A$60:$B$62,2,0),0)+IFERROR(VLOOKUP(P20,Listas!$A$66:$B$69,2,0),0)+IFERROR(VLOOKUP(Q20,Listas!$A$73:$B$76,2,0),0),0))</f>
      </c>
      <c r="S20" s="17">
        <f>=IF(I20="","",IF(R20&gt;=80,"Prioritaria",IF(R20&gt;=60,"Recomendada",IF(R20&gt;=40,"Condicional","Lista de espera"))))</f>
      </c>
      <c r="T20" s="18"/>
      <c r="U20" s="14"/>
      <c r="V20" s="14"/>
    </row>
    <row r="21" ht="18" customHeight="1" spans="1:22" x14ac:dyDescent="0.25">
      <c r="A21" s="6">
        <v>19</v>
      </c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>
        <f>=IF(I21="","",IFERROR(IFERROR(VLOOKUP(I21,Listas!$A$15:$B$20,2,0),0)+IFERROR(VLOOKUP(J21,Listas!$A$24:$B$29,2,0),0)+IFERROR(VLOOKUP(K21,Listas!$A$33:$B$37,2,0),0)+IFERROR(VLOOKUP(L21,Listas!$A$41:$B$44,2,0),0)+IFERROR(VLOOKUP(M21,Listas!$A$48:$B$50,2,0),0)+IFERROR(VLOOKUP(N21,Listas!$A$54:$B$56,2,0),0)+IFERROR(VLOOKUP(O21,Listas!$A$60:$B$62,2,0),0)+IFERROR(VLOOKUP(P21,Listas!$A$66:$B$69,2,0),0)+IFERROR(VLOOKUP(Q21,Listas!$A$73:$B$76,2,0),0),0))</f>
      </c>
      <c r="S21" s="10">
        <f>=IF(I21="","",IF(R21&gt;=80,"Prioritaria",IF(R21&gt;=60,"Recomendada",IF(R21&gt;=40,"Condicional","Lista de espera"))))</f>
      </c>
      <c r="T21" s="11"/>
      <c r="U21" s="8"/>
      <c r="V21" s="8"/>
    </row>
    <row r="22" ht="18" customHeight="1" spans="1:22" x14ac:dyDescent="0.25">
      <c r="A22" s="12">
        <v>20</v>
      </c>
      <c r="B22" s="13"/>
      <c r="C22" s="14"/>
      <c r="D22" s="14"/>
      <c r="E22" s="14"/>
      <c r="F22" s="14"/>
      <c r="G22" s="14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6">
        <f>=IF(I22="","",IFERROR(IFERROR(VLOOKUP(I22,Listas!$A$15:$B$20,2,0),0)+IFERROR(VLOOKUP(J22,Listas!$A$24:$B$29,2,0),0)+IFERROR(VLOOKUP(K22,Listas!$A$33:$B$37,2,0),0)+IFERROR(VLOOKUP(L22,Listas!$A$41:$B$44,2,0),0)+IFERROR(VLOOKUP(M22,Listas!$A$48:$B$50,2,0),0)+IFERROR(VLOOKUP(N22,Listas!$A$54:$B$56,2,0),0)+IFERROR(VLOOKUP(O22,Listas!$A$60:$B$62,2,0),0)+IFERROR(VLOOKUP(P22,Listas!$A$66:$B$69,2,0),0)+IFERROR(VLOOKUP(Q22,Listas!$A$73:$B$76,2,0),0),0))</f>
      </c>
      <c r="S22" s="17">
        <f>=IF(I22="","",IF(R22&gt;=80,"Prioritaria",IF(R22&gt;=60,"Recomendada",IF(R22&gt;=40,"Condicional","Lista de espera"))))</f>
      </c>
      <c r="T22" s="18"/>
      <c r="U22" s="14"/>
      <c r="V22" s="14"/>
    </row>
    <row r="23" ht="18" customHeight="1" spans="1:22" x14ac:dyDescent="0.25">
      <c r="A23" s="6">
        <v>21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>
        <f>=IF(I23="","",IFERROR(IFERROR(VLOOKUP(I23,Listas!$A$15:$B$20,2,0),0)+IFERROR(VLOOKUP(J23,Listas!$A$24:$B$29,2,0),0)+IFERROR(VLOOKUP(K23,Listas!$A$33:$B$37,2,0),0)+IFERROR(VLOOKUP(L23,Listas!$A$41:$B$44,2,0),0)+IFERROR(VLOOKUP(M23,Listas!$A$48:$B$50,2,0),0)+IFERROR(VLOOKUP(N23,Listas!$A$54:$B$56,2,0),0)+IFERROR(VLOOKUP(O23,Listas!$A$60:$B$62,2,0),0)+IFERROR(VLOOKUP(P23,Listas!$A$66:$B$69,2,0),0)+IFERROR(VLOOKUP(Q23,Listas!$A$73:$B$76,2,0),0),0))</f>
      </c>
      <c r="S23" s="10">
        <f>=IF(I23="","",IF(R23&gt;=80,"Prioritaria",IF(R23&gt;=60,"Recomendada",IF(R23&gt;=40,"Condicional","Lista de espera"))))</f>
      </c>
      <c r="T23" s="11"/>
      <c r="U23" s="8"/>
      <c r="V23" s="8"/>
    </row>
    <row r="24" ht="18" customHeight="1" spans="1:22" x14ac:dyDescent="0.25">
      <c r="A24" s="12">
        <v>22</v>
      </c>
      <c r="B24" s="13"/>
      <c r="C24" s="14"/>
      <c r="D24" s="14"/>
      <c r="E24" s="14"/>
      <c r="F24" s="14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6">
        <f>=IF(I24="","",IFERROR(IFERROR(VLOOKUP(I24,Listas!$A$15:$B$20,2,0),0)+IFERROR(VLOOKUP(J24,Listas!$A$24:$B$29,2,0),0)+IFERROR(VLOOKUP(K24,Listas!$A$33:$B$37,2,0),0)+IFERROR(VLOOKUP(L24,Listas!$A$41:$B$44,2,0),0)+IFERROR(VLOOKUP(M24,Listas!$A$48:$B$50,2,0),0)+IFERROR(VLOOKUP(N24,Listas!$A$54:$B$56,2,0),0)+IFERROR(VLOOKUP(O24,Listas!$A$60:$B$62,2,0),0)+IFERROR(VLOOKUP(P24,Listas!$A$66:$B$69,2,0),0)+IFERROR(VLOOKUP(Q24,Listas!$A$73:$B$76,2,0),0),0))</f>
      </c>
      <c r="S24" s="17">
        <f>=IF(I24="","",IF(R24&gt;=80,"Prioritaria",IF(R24&gt;=60,"Recomendada",IF(R24&gt;=40,"Condicional","Lista de espera"))))</f>
      </c>
      <c r="T24" s="18"/>
      <c r="U24" s="14"/>
      <c r="V24" s="14"/>
    </row>
    <row r="25" ht="18" customHeight="1" spans="1:22" x14ac:dyDescent="0.25">
      <c r="A25" s="6">
        <v>23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>
        <f>=IF(I25="","",IFERROR(IFERROR(VLOOKUP(I25,Listas!$A$15:$B$20,2,0),0)+IFERROR(VLOOKUP(J25,Listas!$A$24:$B$29,2,0),0)+IFERROR(VLOOKUP(K25,Listas!$A$33:$B$37,2,0),0)+IFERROR(VLOOKUP(L25,Listas!$A$41:$B$44,2,0),0)+IFERROR(VLOOKUP(M25,Listas!$A$48:$B$50,2,0),0)+IFERROR(VLOOKUP(N25,Listas!$A$54:$B$56,2,0),0)+IFERROR(VLOOKUP(O25,Listas!$A$60:$B$62,2,0),0)+IFERROR(VLOOKUP(P25,Listas!$A$66:$B$69,2,0),0)+IFERROR(VLOOKUP(Q25,Listas!$A$73:$B$76,2,0),0),0))</f>
      </c>
      <c r="S25" s="10">
        <f>=IF(I25="","",IF(R25&gt;=80,"Prioritaria",IF(R25&gt;=60,"Recomendada",IF(R25&gt;=40,"Condicional","Lista de espera"))))</f>
      </c>
      <c r="T25" s="11"/>
      <c r="U25" s="8"/>
      <c r="V25" s="8"/>
    </row>
    <row r="26" ht="18" customHeight="1" spans="1:22" x14ac:dyDescent="0.25">
      <c r="A26" s="12">
        <v>24</v>
      </c>
      <c r="B26" s="13"/>
      <c r="C26" s="14"/>
      <c r="D26" s="14"/>
      <c r="E26" s="14"/>
      <c r="F26" s="14"/>
      <c r="G26" s="14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6">
        <f>=IF(I26="","",IFERROR(IFERROR(VLOOKUP(I26,Listas!$A$15:$B$20,2,0),0)+IFERROR(VLOOKUP(J26,Listas!$A$24:$B$29,2,0),0)+IFERROR(VLOOKUP(K26,Listas!$A$33:$B$37,2,0),0)+IFERROR(VLOOKUP(L26,Listas!$A$41:$B$44,2,0),0)+IFERROR(VLOOKUP(M26,Listas!$A$48:$B$50,2,0),0)+IFERROR(VLOOKUP(N26,Listas!$A$54:$B$56,2,0),0)+IFERROR(VLOOKUP(O26,Listas!$A$60:$B$62,2,0),0)+IFERROR(VLOOKUP(P26,Listas!$A$66:$B$69,2,0),0)+IFERROR(VLOOKUP(Q26,Listas!$A$73:$B$76,2,0),0),0))</f>
      </c>
      <c r="S26" s="17">
        <f>=IF(I26="","",IF(R26&gt;=80,"Prioritaria",IF(R26&gt;=60,"Recomendada",IF(R26&gt;=40,"Condicional","Lista de espera"))))</f>
      </c>
      <c r="T26" s="18"/>
      <c r="U26" s="14"/>
      <c r="V26" s="14"/>
    </row>
    <row r="27" ht="18" customHeight="1" spans="1:22" x14ac:dyDescent="0.25">
      <c r="A27" s="6">
        <v>25</v>
      </c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>
        <f>=IF(I27="","",IFERROR(IFERROR(VLOOKUP(I27,Listas!$A$15:$B$20,2,0),0)+IFERROR(VLOOKUP(J27,Listas!$A$24:$B$29,2,0),0)+IFERROR(VLOOKUP(K27,Listas!$A$33:$B$37,2,0),0)+IFERROR(VLOOKUP(L27,Listas!$A$41:$B$44,2,0),0)+IFERROR(VLOOKUP(M27,Listas!$A$48:$B$50,2,0),0)+IFERROR(VLOOKUP(N27,Listas!$A$54:$B$56,2,0),0)+IFERROR(VLOOKUP(O27,Listas!$A$60:$B$62,2,0),0)+IFERROR(VLOOKUP(P27,Listas!$A$66:$B$69,2,0),0)+IFERROR(VLOOKUP(Q27,Listas!$A$73:$B$76,2,0),0),0))</f>
      </c>
      <c r="S27" s="10">
        <f>=IF(I27="","",IF(R27&gt;=80,"Prioritaria",IF(R27&gt;=60,"Recomendada",IF(R27&gt;=40,"Condicional","Lista de espera"))))</f>
      </c>
      <c r="T27" s="11"/>
      <c r="U27" s="8"/>
      <c r="V27" s="8"/>
    </row>
    <row r="28" ht="18" customHeight="1" spans="1:22" x14ac:dyDescent="0.25">
      <c r="A28" s="12">
        <v>26</v>
      </c>
      <c r="B28" s="13"/>
      <c r="C28" s="14"/>
      <c r="D28" s="14"/>
      <c r="E28" s="14"/>
      <c r="F28" s="14"/>
      <c r="G28" s="14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6">
        <f>=IF(I28="","",IFERROR(IFERROR(VLOOKUP(I28,Listas!$A$15:$B$20,2,0),0)+IFERROR(VLOOKUP(J28,Listas!$A$24:$B$29,2,0),0)+IFERROR(VLOOKUP(K28,Listas!$A$33:$B$37,2,0),0)+IFERROR(VLOOKUP(L28,Listas!$A$41:$B$44,2,0),0)+IFERROR(VLOOKUP(M28,Listas!$A$48:$B$50,2,0),0)+IFERROR(VLOOKUP(N28,Listas!$A$54:$B$56,2,0),0)+IFERROR(VLOOKUP(O28,Listas!$A$60:$B$62,2,0),0)+IFERROR(VLOOKUP(P28,Listas!$A$66:$B$69,2,0),0)+IFERROR(VLOOKUP(Q28,Listas!$A$73:$B$76,2,0),0),0))</f>
      </c>
      <c r="S28" s="17">
        <f>=IF(I28="","",IF(R28&gt;=80,"Prioritaria",IF(R28&gt;=60,"Recomendada",IF(R28&gt;=40,"Condicional","Lista de espera"))))</f>
      </c>
      <c r="T28" s="18"/>
      <c r="U28" s="14"/>
      <c r="V28" s="14"/>
    </row>
    <row r="29" ht="18" customHeight="1" spans="1:22" x14ac:dyDescent="0.25">
      <c r="A29" s="6">
        <v>27</v>
      </c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>
        <f>=IF(I29="","",IFERROR(IFERROR(VLOOKUP(I29,Listas!$A$15:$B$20,2,0),0)+IFERROR(VLOOKUP(J29,Listas!$A$24:$B$29,2,0),0)+IFERROR(VLOOKUP(K29,Listas!$A$33:$B$37,2,0),0)+IFERROR(VLOOKUP(L29,Listas!$A$41:$B$44,2,0),0)+IFERROR(VLOOKUP(M29,Listas!$A$48:$B$50,2,0),0)+IFERROR(VLOOKUP(N29,Listas!$A$54:$B$56,2,0),0)+IFERROR(VLOOKUP(O29,Listas!$A$60:$B$62,2,0),0)+IFERROR(VLOOKUP(P29,Listas!$A$66:$B$69,2,0),0)+IFERROR(VLOOKUP(Q29,Listas!$A$73:$B$76,2,0),0),0))</f>
      </c>
      <c r="S29" s="10">
        <f>=IF(I29="","",IF(R29&gt;=80,"Prioritaria",IF(R29&gt;=60,"Recomendada",IF(R29&gt;=40,"Condicional","Lista de espera"))))</f>
      </c>
      <c r="T29" s="11"/>
      <c r="U29" s="8"/>
      <c r="V29" s="8"/>
    </row>
    <row r="30" ht="18" customHeight="1" spans="1:22" x14ac:dyDescent="0.25">
      <c r="A30" s="12">
        <v>28</v>
      </c>
      <c r="B30" s="13"/>
      <c r="C30" s="14"/>
      <c r="D30" s="14"/>
      <c r="E30" s="14"/>
      <c r="F30" s="14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6">
        <f>=IF(I30="","",IFERROR(IFERROR(VLOOKUP(I30,Listas!$A$15:$B$20,2,0),0)+IFERROR(VLOOKUP(J30,Listas!$A$24:$B$29,2,0),0)+IFERROR(VLOOKUP(K30,Listas!$A$33:$B$37,2,0),0)+IFERROR(VLOOKUP(L30,Listas!$A$41:$B$44,2,0),0)+IFERROR(VLOOKUP(M30,Listas!$A$48:$B$50,2,0),0)+IFERROR(VLOOKUP(N30,Listas!$A$54:$B$56,2,0),0)+IFERROR(VLOOKUP(O30,Listas!$A$60:$B$62,2,0),0)+IFERROR(VLOOKUP(P30,Listas!$A$66:$B$69,2,0),0)+IFERROR(VLOOKUP(Q30,Listas!$A$73:$B$76,2,0),0),0))</f>
      </c>
      <c r="S30" s="17">
        <f>=IF(I30="","",IF(R30&gt;=80,"Prioritaria",IF(R30&gt;=60,"Recomendada",IF(R30&gt;=40,"Condicional","Lista de espera"))))</f>
      </c>
      <c r="T30" s="18"/>
      <c r="U30" s="14"/>
      <c r="V30" s="14"/>
    </row>
    <row r="31" ht="18" customHeight="1" spans="1:22" x14ac:dyDescent="0.25">
      <c r="A31" s="6">
        <v>29</v>
      </c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>
        <f>=IF(I31="","",IFERROR(IFERROR(VLOOKUP(I31,Listas!$A$15:$B$20,2,0),0)+IFERROR(VLOOKUP(J31,Listas!$A$24:$B$29,2,0),0)+IFERROR(VLOOKUP(K31,Listas!$A$33:$B$37,2,0),0)+IFERROR(VLOOKUP(L31,Listas!$A$41:$B$44,2,0),0)+IFERROR(VLOOKUP(M31,Listas!$A$48:$B$50,2,0),0)+IFERROR(VLOOKUP(N31,Listas!$A$54:$B$56,2,0),0)+IFERROR(VLOOKUP(O31,Listas!$A$60:$B$62,2,0),0)+IFERROR(VLOOKUP(P31,Listas!$A$66:$B$69,2,0),0)+IFERROR(VLOOKUP(Q31,Listas!$A$73:$B$76,2,0),0),0))</f>
      </c>
      <c r="S31" s="10">
        <f>=IF(I31="","",IF(R31&gt;=80,"Prioritaria",IF(R31&gt;=60,"Recomendada",IF(R31&gt;=40,"Condicional","Lista de espera"))))</f>
      </c>
      <c r="T31" s="11"/>
      <c r="U31" s="8"/>
      <c r="V31" s="8"/>
    </row>
    <row r="32" ht="18" customHeight="1" spans="1:22" x14ac:dyDescent="0.25">
      <c r="A32" s="12">
        <v>30</v>
      </c>
      <c r="B32" s="13"/>
      <c r="C32" s="14"/>
      <c r="D32" s="14"/>
      <c r="E32" s="14"/>
      <c r="F32" s="14"/>
      <c r="G32" s="14"/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6">
        <f>=IF(I32="","",IFERROR(IFERROR(VLOOKUP(I32,Listas!$A$15:$B$20,2,0),0)+IFERROR(VLOOKUP(J32,Listas!$A$24:$B$29,2,0),0)+IFERROR(VLOOKUP(K32,Listas!$A$33:$B$37,2,0),0)+IFERROR(VLOOKUP(L32,Listas!$A$41:$B$44,2,0),0)+IFERROR(VLOOKUP(M32,Listas!$A$48:$B$50,2,0),0)+IFERROR(VLOOKUP(N32,Listas!$A$54:$B$56,2,0),0)+IFERROR(VLOOKUP(O32,Listas!$A$60:$B$62,2,0),0)+IFERROR(VLOOKUP(P32,Listas!$A$66:$B$69,2,0),0)+IFERROR(VLOOKUP(Q32,Listas!$A$73:$B$76,2,0),0),0))</f>
      </c>
      <c r="S32" s="17">
        <f>=IF(I32="","",IF(R32&gt;=80,"Prioritaria",IF(R32&gt;=60,"Recomendada",IF(R32&gt;=40,"Condicional","Lista de espera"))))</f>
      </c>
      <c r="T32" s="18"/>
      <c r="U32" s="14"/>
      <c r="V32" s="14"/>
    </row>
    <row r="33" ht="18" customHeight="1" spans="1:22" x14ac:dyDescent="0.25">
      <c r="A33" s="6">
        <v>31</v>
      </c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>
        <f>=IF(I33="","",IFERROR(IFERROR(VLOOKUP(I33,Listas!$A$15:$B$20,2,0),0)+IFERROR(VLOOKUP(J33,Listas!$A$24:$B$29,2,0),0)+IFERROR(VLOOKUP(K33,Listas!$A$33:$B$37,2,0),0)+IFERROR(VLOOKUP(L33,Listas!$A$41:$B$44,2,0),0)+IFERROR(VLOOKUP(M33,Listas!$A$48:$B$50,2,0),0)+IFERROR(VLOOKUP(N33,Listas!$A$54:$B$56,2,0),0)+IFERROR(VLOOKUP(O33,Listas!$A$60:$B$62,2,0),0)+IFERROR(VLOOKUP(P33,Listas!$A$66:$B$69,2,0),0)+IFERROR(VLOOKUP(Q33,Listas!$A$73:$B$76,2,0),0),0))</f>
      </c>
      <c r="S33" s="10">
        <f>=IF(I33="","",IF(R33&gt;=80,"Prioritaria",IF(R33&gt;=60,"Recomendada",IF(R33&gt;=40,"Condicional","Lista de espera"))))</f>
      </c>
      <c r="T33" s="11"/>
      <c r="U33" s="8"/>
      <c r="V33" s="8"/>
    </row>
    <row r="34" ht="18" customHeight="1" spans="1:22" x14ac:dyDescent="0.25">
      <c r="A34" s="12">
        <v>32</v>
      </c>
      <c r="B34" s="13"/>
      <c r="C34" s="14"/>
      <c r="D34" s="14"/>
      <c r="E34" s="14"/>
      <c r="F34" s="14"/>
      <c r="G34" s="14"/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6">
        <f>=IF(I34="","",IFERROR(IFERROR(VLOOKUP(I34,Listas!$A$15:$B$20,2,0),0)+IFERROR(VLOOKUP(J34,Listas!$A$24:$B$29,2,0),0)+IFERROR(VLOOKUP(K34,Listas!$A$33:$B$37,2,0),0)+IFERROR(VLOOKUP(L34,Listas!$A$41:$B$44,2,0),0)+IFERROR(VLOOKUP(M34,Listas!$A$48:$B$50,2,0),0)+IFERROR(VLOOKUP(N34,Listas!$A$54:$B$56,2,0),0)+IFERROR(VLOOKUP(O34,Listas!$A$60:$B$62,2,0),0)+IFERROR(VLOOKUP(P34,Listas!$A$66:$B$69,2,0),0)+IFERROR(VLOOKUP(Q34,Listas!$A$73:$B$76,2,0),0),0))</f>
      </c>
      <c r="S34" s="17">
        <f>=IF(I34="","",IF(R34&gt;=80,"Prioritaria",IF(R34&gt;=60,"Recomendada",IF(R34&gt;=40,"Condicional","Lista de espera"))))</f>
      </c>
      <c r="T34" s="18"/>
      <c r="U34" s="14"/>
      <c r="V34" s="14"/>
    </row>
    <row r="35" ht="18" customHeight="1" spans="1:22" x14ac:dyDescent="0.25">
      <c r="A35" s="6">
        <v>33</v>
      </c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>
        <f>=IF(I35="","",IFERROR(IFERROR(VLOOKUP(I35,Listas!$A$15:$B$20,2,0),0)+IFERROR(VLOOKUP(J35,Listas!$A$24:$B$29,2,0),0)+IFERROR(VLOOKUP(K35,Listas!$A$33:$B$37,2,0),0)+IFERROR(VLOOKUP(L35,Listas!$A$41:$B$44,2,0),0)+IFERROR(VLOOKUP(M35,Listas!$A$48:$B$50,2,0),0)+IFERROR(VLOOKUP(N35,Listas!$A$54:$B$56,2,0),0)+IFERROR(VLOOKUP(O35,Listas!$A$60:$B$62,2,0),0)+IFERROR(VLOOKUP(P35,Listas!$A$66:$B$69,2,0),0)+IFERROR(VLOOKUP(Q35,Listas!$A$73:$B$76,2,0),0),0))</f>
      </c>
      <c r="S35" s="10">
        <f>=IF(I35="","",IF(R35&gt;=80,"Prioritaria",IF(R35&gt;=60,"Recomendada",IF(R35&gt;=40,"Condicional","Lista de espera"))))</f>
      </c>
      <c r="T35" s="11"/>
      <c r="U35" s="8"/>
      <c r="V35" s="8"/>
    </row>
    <row r="36" ht="18" customHeight="1" spans="1:22" x14ac:dyDescent="0.25">
      <c r="A36" s="12">
        <v>34</v>
      </c>
      <c r="B36" s="13"/>
      <c r="C36" s="14"/>
      <c r="D36" s="14"/>
      <c r="E36" s="14"/>
      <c r="F36" s="14"/>
      <c r="G36" s="14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6">
        <f>=IF(I36="","",IFERROR(IFERROR(VLOOKUP(I36,Listas!$A$15:$B$20,2,0),0)+IFERROR(VLOOKUP(J36,Listas!$A$24:$B$29,2,0),0)+IFERROR(VLOOKUP(K36,Listas!$A$33:$B$37,2,0),0)+IFERROR(VLOOKUP(L36,Listas!$A$41:$B$44,2,0),0)+IFERROR(VLOOKUP(M36,Listas!$A$48:$B$50,2,0),0)+IFERROR(VLOOKUP(N36,Listas!$A$54:$B$56,2,0),0)+IFERROR(VLOOKUP(O36,Listas!$A$60:$B$62,2,0),0)+IFERROR(VLOOKUP(P36,Listas!$A$66:$B$69,2,0),0)+IFERROR(VLOOKUP(Q36,Listas!$A$73:$B$76,2,0),0),0))</f>
      </c>
      <c r="S36" s="17">
        <f>=IF(I36="","",IF(R36&gt;=80,"Prioritaria",IF(R36&gt;=60,"Recomendada",IF(R36&gt;=40,"Condicional","Lista de espera"))))</f>
      </c>
      <c r="T36" s="18"/>
      <c r="U36" s="14"/>
      <c r="V36" s="14"/>
    </row>
    <row r="37" ht="18" customHeight="1" spans="1:22" x14ac:dyDescent="0.25">
      <c r="A37" s="6">
        <v>35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>
        <f>=IF(I37="","",IFERROR(IFERROR(VLOOKUP(I37,Listas!$A$15:$B$20,2,0),0)+IFERROR(VLOOKUP(J37,Listas!$A$24:$B$29,2,0),0)+IFERROR(VLOOKUP(K37,Listas!$A$33:$B$37,2,0),0)+IFERROR(VLOOKUP(L37,Listas!$A$41:$B$44,2,0),0)+IFERROR(VLOOKUP(M37,Listas!$A$48:$B$50,2,0),0)+IFERROR(VLOOKUP(N37,Listas!$A$54:$B$56,2,0),0)+IFERROR(VLOOKUP(O37,Listas!$A$60:$B$62,2,0),0)+IFERROR(VLOOKUP(P37,Listas!$A$66:$B$69,2,0),0)+IFERROR(VLOOKUP(Q37,Listas!$A$73:$B$76,2,0),0),0))</f>
      </c>
      <c r="S37" s="10">
        <f>=IF(I37="","",IF(R37&gt;=80,"Prioritaria",IF(R37&gt;=60,"Recomendada",IF(R37&gt;=40,"Condicional","Lista de espera"))))</f>
      </c>
      <c r="T37" s="11"/>
      <c r="U37" s="8"/>
      <c r="V37" s="8"/>
    </row>
    <row r="38" ht="18" customHeight="1" spans="1:22" x14ac:dyDescent="0.25">
      <c r="A38" s="12">
        <v>36</v>
      </c>
      <c r="B38" s="13"/>
      <c r="C38" s="14"/>
      <c r="D38" s="14"/>
      <c r="E38" s="14"/>
      <c r="F38" s="14"/>
      <c r="G38" s="14"/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6">
        <f>=IF(I38="","",IFERROR(IFERROR(VLOOKUP(I38,Listas!$A$15:$B$20,2,0),0)+IFERROR(VLOOKUP(J38,Listas!$A$24:$B$29,2,0),0)+IFERROR(VLOOKUP(K38,Listas!$A$33:$B$37,2,0),0)+IFERROR(VLOOKUP(L38,Listas!$A$41:$B$44,2,0),0)+IFERROR(VLOOKUP(M38,Listas!$A$48:$B$50,2,0),0)+IFERROR(VLOOKUP(N38,Listas!$A$54:$B$56,2,0),0)+IFERROR(VLOOKUP(O38,Listas!$A$60:$B$62,2,0),0)+IFERROR(VLOOKUP(P38,Listas!$A$66:$B$69,2,0),0)+IFERROR(VLOOKUP(Q38,Listas!$A$73:$B$76,2,0),0),0))</f>
      </c>
      <c r="S38" s="17">
        <f>=IF(I38="","",IF(R38&gt;=80,"Prioritaria",IF(R38&gt;=60,"Recomendada",IF(R38&gt;=40,"Condicional","Lista de espera"))))</f>
      </c>
      <c r="T38" s="18"/>
      <c r="U38" s="14"/>
      <c r="V38" s="14"/>
    </row>
    <row r="39" ht="18" customHeight="1" spans="1:22" x14ac:dyDescent="0.25">
      <c r="A39" s="6">
        <v>37</v>
      </c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>
        <f>=IF(I39="","",IFERROR(IFERROR(VLOOKUP(I39,Listas!$A$15:$B$20,2,0),0)+IFERROR(VLOOKUP(J39,Listas!$A$24:$B$29,2,0),0)+IFERROR(VLOOKUP(K39,Listas!$A$33:$B$37,2,0),0)+IFERROR(VLOOKUP(L39,Listas!$A$41:$B$44,2,0),0)+IFERROR(VLOOKUP(M39,Listas!$A$48:$B$50,2,0),0)+IFERROR(VLOOKUP(N39,Listas!$A$54:$B$56,2,0),0)+IFERROR(VLOOKUP(O39,Listas!$A$60:$B$62,2,0),0)+IFERROR(VLOOKUP(P39,Listas!$A$66:$B$69,2,0),0)+IFERROR(VLOOKUP(Q39,Listas!$A$73:$B$76,2,0),0),0))</f>
      </c>
      <c r="S39" s="10">
        <f>=IF(I39="","",IF(R39&gt;=80,"Prioritaria",IF(R39&gt;=60,"Recomendada",IF(R39&gt;=40,"Condicional","Lista de espera"))))</f>
      </c>
      <c r="T39" s="11"/>
      <c r="U39" s="8"/>
      <c r="V39" s="8"/>
    </row>
    <row r="40" ht="18" customHeight="1" spans="1:22" x14ac:dyDescent="0.25">
      <c r="A40" s="12">
        <v>38</v>
      </c>
      <c r="B40" s="13"/>
      <c r="C40" s="14"/>
      <c r="D40" s="14"/>
      <c r="E40" s="14"/>
      <c r="F40" s="14"/>
      <c r="G40" s="14"/>
      <c r="H40" s="14"/>
      <c r="I40" s="15"/>
      <c r="J40" s="15"/>
      <c r="K40" s="15"/>
      <c r="L40" s="15"/>
      <c r="M40" s="15"/>
      <c r="N40" s="15"/>
      <c r="O40" s="15"/>
      <c r="P40" s="15"/>
      <c r="Q40" s="15"/>
      <c r="R40" s="16">
        <f>=IF(I40="","",IFERROR(IFERROR(VLOOKUP(I40,Listas!$A$15:$B$20,2,0),0)+IFERROR(VLOOKUP(J40,Listas!$A$24:$B$29,2,0),0)+IFERROR(VLOOKUP(K40,Listas!$A$33:$B$37,2,0),0)+IFERROR(VLOOKUP(L40,Listas!$A$41:$B$44,2,0),0)+IFERROR(VLOOKUP(M40,Listas!$A$48:$B$50,2,0),0)+IFERROR(VLOOKUP(N40,Listas!$A$54:$B$56,2,0),0)+IFERROR(VLOOKUP(O40,Listas!$A$60:$B$62,2,0),0)+IFERROR(VLOOKUP(P40,Listas!$A$66:$B$69,2,0),0)+IFERROR(VLOOKUP(Q40,Listas!$A$73:$B$76,2,0),0),0))</f>
      </c>
      <c r="S40" s="17">
        <f>=IF(I40="","",IF(R40&gt;=80,"Prioritaria",IF(R40&gt;=60,"Recomendada",IF(R40&gt;=40,"Condicional","Lista de espera"))))</f>
      </c>
      <c r="T40" s="18"/>
      <c r="U40" s="14"/>
      <c r="V40" s="14"/>
    </row>
    <row r="41" ht="18" customHeight="1" spans="1:22" x14ac:dyDescent="0.25">
      <c r="A41" s="6">
        <v>39</v>
      </c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>
        <f>=IF(I41="","",IFERROR(IFERROR(VLOOKUP(I41,Listas!$A$15:$B$20,2,0),0)+IFERROR(VLOOKUP(J41,Listas!$A$24:$B$29,2,0),0)+IFERROR(VLOOKUP(K41,Listas!$A$33:$B$37,2,0),0)+IFERROR(VLOOKUP(L41,Listas!$A$41:$B$44,2,0),0)+IFERROR(VLOOKUP(M41,Listas!$A$48:$B$50,2,0),0)+IFERROR(VLOOKUP(N41,Listas!$A$54:$B$56,2,0),0)+IFERROR(VLOOKUP(O41,Listas!$A$60:$B$62,2,0),0)+IFERROR(VLOOKUP(P41,Listas!$A$66:$B$69,2,0),0)+IFERROR(VLOOKUP(Q41,Listas!$A$73:$B$76,2,0),0),0))</f>
      </c>
      <c r="S41" s="10">
        <f>=IF(I41="","",IF(R41&gt;=80,"Prioritaria",IF(R41&gt;=60,"Recomendada",IF(R41&gt;=40,"Condicional","Lista de espera"))))</f>
      </c>
      <c r="T41" s="11"/>
      <c r="U41" s="8"/>
      <c r="V41" s="8"/>
    </row>
    <row r="42" ht="18" customHeight="1" spans="1:22" x14ac:dyDescent="0.25">
      <c r="A42" s="12">
        <v>40</v>
      </c>
      <c r="B42" s="13"/>
      <c r="C42" s="14"/>
      <c r="D42" s="14"/>
      <c r="E42" s="14"/>
      <c r="F42" s="14"/>
      <c r="G42" s="14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6">
        <f>=IF(I42="","",IFERROR(IFERROR(VLOOKUP(I42,Listas!$A$15:$B$20,2,0),0)+IFERROR(VLOOKUP(J42,Listas!$A$24:$B$29,2,0),0)+IFERROR(VLOOKUP(K42,Listas!$A$33:$B$37,2,0),0)+IFERROR(VLOOKUP(L42,Listas!$A$41:$B$44,2,0),0)+IFERROR(VLOOKUP(M42,Listas!$A$48:$B$50,2,0),0)+IFERROR(VLOOKUP(N42,Listas!$A$54:$B$56,2,0),0)+IFERROR(VLOOKUP(O42,Listas!$A$60:$B$62,2,0),0)+IFERROR(VLOOKUP(P42,Listas!$A$66:$B$69,2,0),0)+IFERROR(VLOOKUP(Q42,Listas!$A$73:$B$76,2,0),0),0))</f>
      </c>
      <c r="S42" s="17">
        <f>=IF(I42="","",IF(R42&gt;=80,"Prioritaria",IF(R42&gt;=60,"Recomendada",IF(R42&gt;=40,"Condicional","Lista de espera"))))</f>
      </c>
      <c r="T42" s="18"/>
      <c r="U42" s="14"/>
      <c r="V42" s="14"/>
    </row>
    <row r="43" ht="18" customHeight="1" spans="1:22" x14ac:dyDescent="0.25">
      <c r="A43" s="6">
        <v>41</v>
      </c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>
        <f>=IF(I43="","",IFERROR(IFERROR(VLOOKUP(I43,Listas!$A$15:$B$20,2,0),0)+IFERROR(VLOOKUP(J43,Listas!$A$24:$B$29,2,0),0)+IFERROR(VLOOKUP(K43,Listas!$A$33:$B$37,2,0),0)+IFERROR(VLOOKUP(L43,Listas!$A$41:$B$44,2,0),0)+IFERROR(VLOOKUP(M43,Listas!$A$48:$B$50,2,0),0)+IFERROR(VLOOKUP(N43,Listas!$A$54:$B$56,2,0),0)+IFERROR(VLOOKUP(O43,Listas!$A$60:$B$62,2,0),0)+IFERROR(VLOOKUP(P43,Listas!$A$66:$B$69,2,0),0)+IFERROR(VLOOKUP(Q43,Listas!$A$73:$B$76,2,0),0),0))</f>
      </c>
      <c r="S43" s="10">
        <f>=IF(I43="","",IF(R43&gt;=80,"Prioritaria",IF(R43&gt;=60,"Recomendada",IF(R43&gt;=40,"Condicional","Lista de espera"))))</f>
      </c>
      <c r="T43" s="11"/>
      <c r="U43" s="8"/>
      <c r="V43" s="8"/>
    </row>
    <row r="44" ht="18" customHeight="1" spans="1:22" x14ac:dyDescent="0.25">
      <c r="A44" s="12">
        <v>42</v>
      </c>
      <c r="B44" s="13"/>
      <c r="C44" s="14"/>
      <c r="D44" s="14"/>
      <c r="E44" s="14"/>
      <c r="F44" s="14"/>
      <c r="G44" s="14"/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6">
        <f>=IF(I44="","",IFERROR(IFERROR(VLOOKUP(I44,Listas!$A$15:$B$20,2,0),0)+IFERROR(VLOOKUP(J44,Listas!$A$24:$B$29,2,0),0)+IFERROR(VLOOKUP(K44,Listas!$A$33:$B$37,2,0),0)+IFERROR(VLOOKUP(L44,Listas!$A$41:$B$44,2,0),0)+IFERROR(VLOOKUP(M44,Listas!$A$48:$B$50,2,0),0)+IFERROR(VLOOKUP(N44,Listas!$A$54:$B$56,2,0),0)+IFERROR(VLOOKUP(O44,Listas!$A$60:$B$62,2,0),0)+IFERROR(VLOOKUP(P44,Listas!$A$66:$B$69,2,0),0)+IFERROR(VLOOKUP(Q44,Listas!$A$73:$B$76,2,0),0),0))</f>
      </c>
      <c r="S44" s="17">
        <f>=IF(I44="","",IF(R44&gt;=80,"Prioritaria",IF(R44&gt;=60,"Recomendada",IF(R44&gt;=40,"Condicional","Lista de espera"))))</f>
      </c>
      <c r="T44" s="18"/>
      <c r="U44" s="14"/>
      <c r="V44" s="14"/>
    </row>
    <row r="45" ht="18" customHeight="1" spans="1:22" x14ac:dyDescent="0.25">
      <c r="A45" s="6">
        <v>43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>
        <f>=IF(I45="","",IFERROR(IFERROR(VLOOKUP(I45,Listas!$A$15:$B$20,2,0),0)+IFERROR(VLOOKUP(J45,Listas!$A$24:$B$29,2,0),0)+IFERROR(VLOOKUP(K45,Listas!$A$33:$B$37,2,0),0)+IFERROR(VLOOKUP(L45,Listas!$A$41:$B$44,2,0),0)+IFERROR(VLOOKUP(M45,Listas!$A$48:$B$50,2,0),0)+IFERROR(VLOOKUP(N45,Listas!$A$54:$B$56,2,0),0)+IFERROR(VLOOKUP(O45,Listas!$A$60:$B$62,2,0),0)+IFERROR(VLOOKUP(P45,Listas!$A$66:$B$69,2,0),0)+IFERROR(VLOOKUP(Q45,Listas!$A$73:$B$76,2,0),0),0))</f>
      </c>
      <c r="S45" s="10">
        <f>=IF(I45="","",IF(R45&gt;=80,"Prioritaria",IF(R45&gt;=60,"Recomendada",IF(R45&gt;=40,"Condicional","Lista de espera"))))</f>
      </c>
      <c r="T45" s="11"/>
      <c r="U45" s="8"/>
      <c r="V45" s="8"/>
    </row>
    <row r="46" ht="18" customHeight="1" spans="1:22" x14ac:dyDescent="0.25">
      <c r="A46" s="12">
        <v>44</v>
      </c>
      <c r="B46" s="13"/>
      <c r="C46" s="14"/>
      <c r="D46" s="14"/>
      <c r="E46" s="14"/>
      <c r="F46" s="14"/>
      <c r="G46" s="14"/>
      <c r="H46" s="14"/>
      <c r="I46" s="15"/>
      <c r="J46" s="15"/>
      <c r="K46" s="15"/>
      <c r="L46" s="15"/>
      <c r="M46" s="15"/>
      <c r="N46" s="15"/>
      <c r="O46" s="15"/>
      <c r="P46" s="15"/>
      <c r="Q46" s="15"/>
      <c r="R46" s="16">
        <f>=IF(I46="","",IFERROR(IFERROR(VLOOKUP(I46,Listas!$A$15:$B$20,2,0),0)+IFERROR(VLOOKUP(J46,Listas!$A$24:$B$29,2,0),0)+IFERROR(VLOOKUP(K46,Listas!$A$33:$B$37,2,0),0)+IFERROR(VLOOKUP(L46,Listas!$A$41:$B$44,2,0),0)+IFERROR(VLOOKUP(M46,Listas!$A$48:$B$50,2,0),0)+IFERROR(VLOOKUP(N46,Listas!$A$54:$B$56,2,0),0)+IFERROR(VLOOKUP(O46,Listas!$A$60:$B$62,2,0),0)+IFERROR(VLOOKUP(P46,Listas!$A$66:$B$69,2,0),0)+IFERROR(VLOOKUP(Q46,Listas!$A$73:$B$76,2,0),0),0))</f>
      </c>
      <c r="S46" s="17">
        <f>=IF(I46="","",IF(R46&gt;=80,"Prioritaria",IF(R46&gt;=60,"Recomendada",IF(R46&gt;=40,"Condicional","Lista de espera"))))</f>
      </c>
      <c r="T46" s="18"/>
      <c r="U46" s="14"/>
      <c r="V46" s="14"/>
    </row>
    <row r="47" ht="18" customHeight="1" spans="1:22" x14ac:dyDescent="0.25">
      <c r="A47" s="6">
        <v>45</v>
      </c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>
        <f>=IF(I47="","",IFERROR(IFERROR(VLOOKUP(I47,Listas!$A$15:$B$20,2,0),0)+IFERROR(VLOOKUP(J47,Listas!$A$24:$B$29,2,0),0)+IFERROR(VLOOKUP(K47,Listas!$A$33:$B$37,2,0),0)+IFERROR(VLOOKUP(L47,Listas!$A$41:$B$44,2,0),0)+IFERROR(VLOOKUP(M47,Listas!$A$48:$B$50,2,0),0)+IFERROR(VLOOKUP(N47,Listas!$A$54:$B$56,2,0),0)+IFERROR(VLOOKUP(O47,Listas!$A$60:$B$62,2,0),0)+IFERROR(VLOOKUP(P47,Listas!$A$66:$B$69,2,0),0)+IFERROR(VLOOKUP(Q47,Listas!$A$73:$B$76,2,0),0),0))</f>
      </c>
      <c r="S47" s="10">
        <f>=IF(I47="","",IF(R47&gt;=80,"Prioritaria",IF(R47&gt;=60,"Recomendada",IF(R47&gt;=40,"Condicional","Lista de espera"))))</f>
      </c>
      <c r="T47" s="11"/>
      <c r="U47" s="8"/>
      <c r="V47" s="8"/>
    </row>
    <row r="48" ht="18" customHeight="1" spans="1:22" x14ac:dyDescent="0.25">
      <c r="A48" s="12">
        <v>46</v>
      </c>
      <c r="B48" s="13"/>
      <c r="C48" s="14"/>
      <c r="D48" s="14"/>
      <c r="E48" s="14"/>
      <c r="F48" s="14"/>
      <c r="G48" s="14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6">
        <f>=IF(I48="","",IFERROR(IFERROR(VLOOKUP(I48,Listas!$A$15:$B$20,2,0),0)+IFERROR(VLOOKUP(J48,Listas!$A$24:$B$29,2,0),0)+IFERROR(VLOOKUP(K48,Listas!$A$33:$B$37,2,0),0)+IFERROR(VLOOKUP(L48,Listas!$A$41:$B$44,2,0),0)+IFERROR(VLOOKUP(M48,Listas!$A$48:$B$50,2,0),0)+IFERROR(VLOOKUP(N48,Listas!$A$54:$B$56,2,0),0)+IFERROR(VLOOKUP(O48,Listas!$A$60:$B$62,2,0),0)+IFERROR(VLOOKUP(P48,Listas!$A$66:$B$69,2,0),0)+IFERROR(VLOOKUP(Q48,Listas!$A$73:$B$76,2,0),0),0))</f>
      </c>
      <c r="S48" s="17">
        <f>=IF(I48="","",IF(R48&gt;=80,"Prioritaria",IF(R48&gt;=60,"Recomendada",IF(R48&gt;=40,"Condicional","Lista de espera"))))</f>
      </c>
      <c r="T48" s="18"/>
      <c r="U48" s="14"/>
      <c r="V48" s="14"/>
    </row>
    <row r="49" ht="18" customHeight="1" spans="1:22" x14ac:dyDescent="0.25">
      <c r="A49" s="6">
        <v>47</v>
      </c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>
        <f>=IF(I49="","",IFERROR(IFERROR(VLOOKUP(I49,Listas!$A$15:$B$20,2,0),0)+IFERROR(VLOOKUP(J49,Listas!$A$24:$B$29,2,0),0)+IFERROR(VLOOKUP(K49,Listas!$A$33:$B$37,2,0),0)+IFERROR(VLOOKUP(L49,Listas!$A$41:$B$44,2,0),0)+IFERROR(VLOOKUP(M49,Listas!$A$48:$B$50,2,0),0)+IFERROR(VLOOKUP(N49,Listas!$A$54:$B$56,2,0),0)+IFERROR(VLOOKUP(O49,Listas!$A$60:$B$62,2,0),0)+IFERROR(VLOOKUP(P49,Listas!$A$66:$B$69,2,0),0)+IFERROR(VLOOKUP(Q49,Listas!$A$73:$B$76,2,0),0),0))</f>
      </c>
      <c r="S49" s="10">
        <f>=IF(I49="","",IF(R49&gt;=80,"Prioritaria",IF(R49&gt;=60,"Recomendada",IF(R49&gt;=40,"Condicional","Lista de espera"))))</f>
      </c>
      <c r="T49" s="11"/>
      <c r="U49" s="8"/>
      <c r="V49" s="8"/>
    </row>
    <row r="50" ht="18" customHeight="1" spans="1:22" x14ac:dyDescent="0.25">
      <c r="A50" s="12">
        <v>48</v>
      </c>
      <c r="B50" s="13"/>
      <c r="C50" s="14"/>
      <c r="D50" s="14"/>
      <c r="E50" s="14"/>
      <c r="F50" s="14"/>
      <c r="G50" s="14"/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6">
        <f>=IF(I50="","",IFERROR(IFERROR(VLOOKUP(I50,Listas!$A$15:$B$20,2,0),0)+IFERROR(VLOOKUP(J50,Listas!$A$24:$B$29,2,0),0)+IFERROR(VLOOKUP(K50,Listas!$A$33:$B$37,2,0),0)+IFERROR(VLOOKUP(L50,Listas!$A$41:$B$44,2,0),0)+IFERROR(VLOOKUP(M50,Listas!$A$48:$B$50,2,0),0)+IFERROR(VLOOKUP(N50,Listas!$A$54:$B$56,2,0),0)+IFERROR(VLOOKUP(O50,Listas!$A$60:$B$62,2,0),0)+IFERROR(VLOOKUP(P50,Listas!$A$66:$B$69,2,0),0)+IFERROR(VLOOKUP(Q50,Listas!$A$73:$B$76,2,0),0),0))</f>
      </c>
      <c r="S50" s="17">
        <f>=IF(I50="","",IF(R50&gt;=80,"Prioritaria",IF(R50&gt;=60,"Recomendada",IF(R50&gt;=40,"Condicional","Lista de espera"))))</f>
      </c>
      <c r="T50" s="18"/>
      <c r="U50" s="14"/>
      <c r="V50" s="14"/>
    </row>
    <row r="51" ht="18" customHeight="1" spans="1:22" x14ac:dyDescent="0.25">
      <c r="A51" s="6">
        <v>49</v>
      </c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>
        <f>=IF(I51="","",IFERROR(IFERROR(VLOOKUP(I51,Listas!$A$15:$B$20,2,0),0)+IFERROR(VLOOKUP(J51,Listas!$A$24:$B$29,2,0),0)+IFERROR(VLOOKUP(K51,Listas!$A$33:$B$37,2,0),0)+IFERROR(VLOOKUP(L51,Listas!$A$41:$B$44,2,0),0)+IFERROR(VLOOKUP(M51,Listas!$A$48:$B$50,2,0),0)+IFERROR(VLOOKUP(N51,Listas!$A$54:$B$56,2,0),0)+IFERROR(VLOOKUP(O51,Listas!$A$60:$B$62,2,0),0)+IFERROR(VLOOKUP(P51,Listas!$A$66:$B$69,2,0),0)+IFERROR(VLOOKUP(Q51,Listas!$A$73:$B$76,2,0),0),0))</f>
      </c>
      <c r="S51" s="10">
        <f>=IF(I51="","",IF(R51&gt;=80,"Prioritaria",IF(R51&gt;=60,"Recomendada",IF(R51&gt;=40,"Condicional","Lista de espera"))))</f>
      </c>
      <c r="T51" s="11"/>
      <c r="U51" s="8"/>
      <c r="V51" s="8"/>
    </row>
    <row r="52" ht="18" customHeight="1" spans="1:22" x14ac:dyDescent="0.25">
      <c r="A52" s="12">
        <v>50</v>
      </c>
      <c r="B52" s="13"/>
      <c r="C52" s="14"/>
      <c r="D52" s="14"/>
      <c r="E52" s="14"/>
      <c r="F52" s="14"/>
      <c r="G52" s="14"/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6">
        <f>=IF(I52="","",IFERROR(IFERROR(VLOOKUP(I52,Listas!$A$15:$B$20,2,0),0)+IFERROR(VLOOKUP(J52,Listas!$A$24:$B$29,2,0),0)+IFERROR(VLOOKUP(K52,Listas!$A$33:$B$37,2,0),0)+IFERROR(VLOOKUP(L52,Listas!$A$41:$B$44,2,0),0)+IFERROR(VLOOKUP(M52,Listas!$A$48:$B$50,2,0),0)+IFERROR(VLOOKUP(N52,Listas!$A$54:$B$56,2,0),0)+IFERROR(VLOOKUP(O52,Listas!$A$60:$B$62,2,0),0)+IFERROR(VLOOKUP(P52,Listas!$A$66:$B$69,2,0),0)+IFERROR(VLOOKUP(Q52,Listas!$A$73:$B$76,2,0),0),0))</f>
      </c>
      <c r="S52" s="17">
        <f>=IF(I52="","",IF(R52&gt;=80,"Prioritaria",IF(R52&gt;=60,"Recomendada",IF(R52&gt;=40,"Condicional","Lista de espera"))))</f>
      </c>
      <c r="T52" s="18"/>
      <c r="U52" s="14"/>
      <c r="V52" s="14"/>
    </row>
    <row r="53" ht="18" customHeight="1" spans="1:22" x14ac:dyDescent="0.25">
      <c r="A53" s="6">
        <v>51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>
        <f>=IF(I53="","",IFERROR(IFERROR(VLOOKUP(I53,Listas!$A$15:$B$20,2,0),0)+IFERROR(VLOOKUP(J53,Listas!$A$24:$B$29,2,0),0)+IFERROR(VLOOKUP(K53,Listas!$A$33:$B$37,2,0),0)+IFERROR(VLOOKUP(L53,Listas!$A$41:$B$44,2,0),0)+IFERROR(VLOOKUP(M53,Listas!$A$48:$B$50,2,0),0)+IFERROR(VLOOKUP(N53,Listas!$A$54:$B$56,2,0),0)+IFERROR(VLOOKUP(O53,Listas!$A$60:$B$62,2,0),0)+IFERROR(VLOOKUP(P53,Listas!$A$66:$B$69,2,0),0)+IFERROR(VLOOKUP(Q53,Listas!$A$73:$B$76,2,0),0),0))</f>
      </c>
      <c r="S53" s="10">
        <f>=IF(I53="","",IF(R53&gt;=80,"Prioritaria",IF(R53&gt;=60,"Recomendada",IF(R53&gt;=40,"Condicional","Lista de espera"))))</f>
      </c>
      <c r="T53" s="11"/>
      <c r="U53" s="8"/>
      <c r="V53" s="8"/>
    </row>
    <row r="54" ht="18" customHeight="1" spans="1:22" x14ac:dyDescent="0.25">
      <c r="A54" s="12">
        <v>52</v>
      </c>
      <c r="B54" s="13"/>
      <c r="C54" s="14"/>
      <c r="D54" s="14"/>
      <c r="E54" s="14"/>
      <c r="F54" s="14"/>
      <c r="G54" s="14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6">
        <f>=IF(I54="","",IFERROR(IFERROR(VLOOKUP(I54,Listas!$A$15:$B$20,2,0),0)+IFERROR(VLOOKUP(J54,Listas!$A$24:$B$29,2,0),0)+IFERROR(VLOOKUP(K54,Listas!$A$33:$B$37,2,0),0)+IFERROR(VLOOKUP(L54,Listas!$A$41:$B$44,2,0),0)+IFERROR(VLOOKUP(M54,Listas!$A$48:$B$50,2,0),0)+IFERROR(VLOOKUP(N54,Listas!$A$54:$B$56,2,0),0)+IFERROR(VLOOKUP(O54,Listas!$A$60:$B$62,2,0),0)+IFERROR(VLOOKUP(P54,Listas!$A$66:$B$69,2,0),0)+IFERROR(VLOOKUP(Q54,Listas!$A$73:$B$76,2,0),0),0))</f>
      </c>
      <c r="S54" s="17">
        <f>=IF(I54="","",IF(R54&gt;=80,"Prioritaria",IF(R54&gt;=60,"Recomendada",IF(R54&gt;=40,"Condicional","Lista de espera"))))</f>
      </c>
      <c r="T54" s="18"/>
      <c r="U54" s="14"/>
      <c r="V54" s="14"/>
    </row>
    <row r="55" ht="18" customHeight="1" spans="1:22" x14ac:dyDescent="0.25">
      <c r="A55" s="6">
        <v>53</v>
      </c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>
        <f>=IF(I55="","",IFERROR(IFERROR(VLOOKUP(I55,Listas!$A$15:$B$20,2,0),0)+IFERROR(VLOOKUP(J55,Listas!$A$24:$B$29,2,0),0)+IFERROR(VLOOKUP(K55,Listas!$A$33:$B$37,2,0),0)+IFERROR(VLOOKUP(L55,Listas!$A$41:$B$44,2,0),0)+IFERROR(VLOOKUP(M55,Listas!$A$48:$B$50,2,0),0)+IFERROR(VLOOKUP(N55,Listas!$A$54:$B$56,2,0),0)+IFERROR(VLOOKUP(O55,Listas!$A$60:$B$62,2,0),0)+IFERROR(VLOOKUP(P55,Listas!$A$66:$B$69,2,0),0)+IFERROR(VLOOKUP(Q55,Listas!$A$73:$B$76,2,0),0),0))</f>
      </c>
      <c r="S55" s="10">
        <f>=IF(I55="","",IF(R55&gt;=80,"Prioritaria",IF(R55&gt;=60,"Recomendada",IF(R55&gt;=40,"Condicional","Lista de espera"))))</f>
      </c>
      <c r="T55" s="11"/>
      <c r="U55" s="8"/>
      <c r="V55" s="8"/>
    </row>
    <row r="56" ht="18" customHeight="1" spans="1:22" x14ac:dyDescent="0.25">
      <c r="A56" s="12">
        <v>54</v>
      </c>
      <c r="B56" s="13"/>
      <c r="C56" s="14"/>
      <c r="D56" s="14"/>
      <c r="E56" s="14"/>
      <c r="F56" s="14"/>
      <c r="G56" s="14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6">
        <f>=IF(I56="","",IFERROR(IFERROR(VLOOKUP(I56,Listas!$A$15:$B$20,2,0),0)+IFERROR(VLOOKUP(J56,Listas!$A$24:$B$29,2,0),0)+IFERROR(VLOOKUP(K56,Listas!$A$33:$B$37,2,0),0)+IFERROR(VLOOKUP(L56,Listas!$A$41:$B$44,2,0),0)+IFERROR(VLOOKUP(M56,Listas!$A$48:$B$50,2,0),0)+IFERROR(VLOOKUP(N56,Listas!$A$54:$B$56,2,0),0)+IFERROR(VLOOKUP(O56,Listas!$A$60:$B$62,2,0),0)+IFERROR(VLOOKUP(P56,Listas!$A$66:$B$69,2,0),0)+IFERROR(VLOOKUP(Q56,Listas!$A$73:$B$76,2,0),0),0))</f>
      </c>
      <c r="S56" s="17">
        <f>=IF(I56="","",IF(R56&gt;=80,"Prioritaria",IF(R56&gt;=60,"Recomendada",IF(R56&gt;=40,"Condicional","Lista de espera"))))</f>
      </c>
      <c r="T56" s="18"/>
      <c r="U56" s="14"/>
      <c r="V56" s="14"/>
    </row>
    <row r="57" ht="18" customHeight="1" spans="1:22" x14ac:dyDescent="0.25">
      <c r="A57" s="6">
        <v>55</v>
      </c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>
        <f>=IF(I57="","",IFERROR(IFERROR(VLOOKUP(I57,Listas!$A$15:$B$20,2,0),0)+IFERROR(VLOOKUP(J57,Listas!$A$24:$B$29,2,0),0)+IFERROR(VLOOKUP(K57,Listas!$A$33:$B$37,2,0),0)+IFERROR(VLOOKUP(L57,Listas!$A$41:$B$44,2,0),0)+IFERROR(VLOOKUP(M57,Listas!$A$48:$B$50,2,0),0)+IFERROR(VLOOKUP(N57,Listas!$A$54:$B$56,2,0),0)+IFERROR(VLOOKUP(O57,Listas!$A$60:$B$62,2,0),0)+IFERROR(VLOOKUP(P57,Listas!$A$66:$B$69,2,0),0)+IFERROR(VLOOKUP(Q57,Listas!$A$73:$B$76,2,0),0),0))</f>
      </c>
      <c r="S57" s="10">
        <f>=IF(I57="","",IF(R57&gt;=80,"Prioritaria",IF(R57&gt;=60,"Recomendada",IF(R57&gt;=40,"Condicional","Lista de espera"))))</f>
      </c>
      <c r="T57" s="11"/>
      <c r="U57" s="8"/>
      <c r="V57" s="8"/>
    </row>
    <row r="58" ht="18" customHeight="1" spans="1:22" x14ac:dyDescent="0.25">
      <c r="A58" s="12">
        <v>56</v>
      </c>
      <c r="B58" s="13"/>
      <c r="C58" s="14"/>
      <c r="D58" s="14"/>
      <c r="E58" s="14"/>
      <c r="F58" s="14"/>
      <c r="G58" s="14"/>
      <c r="H58" s="14"/>
      <c r="I58" s="15"/>
      <c r="J58" s="15"/>
      <c r="K58" s="15"/>
      <c r="L58" s="15"/>
      <c r="M58" s="15"/>
      <c r="N58" s="15"/>
      <c r="O58" s="15"/>
      <c r="P58" s="15"/>
      <c r="Q58" s="15"/>
      <c r="R58" s="16">
        <f>=IF(I58="","",IFERROR(IFERROR(VLOOKUP(I58,Listas!$A$15:$B$20,2,0),0)+IFERROR(VLOOKUP(J58,Listas!$A$24:$B$29,2,0),0)+IFERROR(VLOOKUP(K58,Listas!$A$33:$B$37,2,0),0)+IFERROR(VLOOKUP(L58,Listas!$A$41:$B$44,2,0),0)+IFERROR(VLOOKUP(M58,Listas!$A$48:$B$50,2,0),0)+IFERROR(VLOOKUP(N58,Listas!$A$54:$B$56,2,0),0)+IFERROR(VLOOKUP(O58,Listas!$A$60:$B$62,2,0),0)+IFERROR(VLOOKUP(P58,Listas!$A$66:$B$69,2,0),0)+IFERROR(VLOOKUP(Q58,Listas!$A$73:$B$76,2,0),0),0))</f>
      </c>
      <c r="S58" s="17">
        <f>=IF(I58="","",IF(R58&gt;=80,"Prioritaria",IF(R58&gt;=60,"Recomendada",IF(R58&gt;=40,"Condicional","Lista de espera"))))</f>
      </c>
      <c r="T58" s="18"/>
      <c r="U58" s="14"/>
      <c r="V58" s="14"/>
    </row>
    <row r="59" ht="18" customHeight="1" spans="1:22" x14ac:dyDescent="0.25">
      <c r="A59" s="6">
        <v>57</v>
      </c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>
        <f>=IF(I59="","",IFERROR(IFERROR(VLOOKUP(I59,Listas!$A$15:$B$20,2,0),0)+IFERROR(VLOOKUP(J59,Listas!$A$24:$B$29,2,0),0)+IFERROR(VLOOKUP(K59,Listas!$A$33:$B$37,2,0),0)+IFERROR(VLOOKUP(L59,Listas!$A$41:$B$44,2,0),0)+IFERROR(VLOOKUP(M59,Listas!$A$48:$B$50,2,0),0)+IFERROR(VLOOKUP(N59,Listas!$A$54:$B$56,2,0),0)+IFERROR(VLOOKUP(O59,Listas!$A$60:$B$62,2,0),0)+IFERROR(VLOOKUP(P59,Listas!$A$66:$B$69,2,0),0)+IFERROR(VLOOKUP(Q59,Listas!$A$73:$B$76,2,0),0),0))</f>
      </c>
      <c r="S59" s="10">
        <f>=IF(I59="","",IF(R59&gt;=80,"Prioritaria",IF(R59&gt;=60,"Recomendada",IF(R59&gt;=40,"Condicional","Lista de espera"))))</f>
      </c>
      <c r="T59" s="11"/>
      <c r="U59" s="8"/>
      <c r="V59" s="8"/>
    </row>
    <row r="60" ht="18" customHeight="1" spans="1:22" x14ac:dyDescent="0.25">
      <c r="A60" s="12">
        <v>58</v>
      </c>
      <c r="B60" s="13"/>
      <c r="C60" s="14"/>
      <c r="D60" s="14"/>
      <c r="E60" s="14"/>
      <c r="F60" s="14"/>
      <c r="G60" s="14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6">
        <f>=IF(I60="","",IFERROR(IFERROR(VLOOKUP(I60,Listas!$A$15:$B$20,2,0),0)+IFERROR(VLOOKUP(J60,Listas!$A$24:$B$29,2,0),0)+IFERROR(VLOOKUP(K60,Listas!$A$33:$B$37,2,0),0)+IFERROR(VLOOKUP(L60,Listas!$A$41:$B$44,2,0),0)+IFERROR(VLOOKUP(M60,Listas!$A$48:$B$50,2,0),0)+IFERROR(VLOOKUP(N60,Listas!$A$54:$B$56,2,0),0)+IFERROR(VLOOKUP(O60,Listas!$A$60:$B$62,2,0),0)+IFERROR(VLOOKUP(P60,Listas!$A$66:$B$69,2,0),0)+IFERROR(VLOOKUP(Q60,Listas!$A$73:$B$76,2,0),0),0))</f>
      </c>
      <c r="S60" s="17">
        <f>=IF(I60="","",IF(R60&gt;=80,"Prioritaria",IF(R60&gt;=60,"Recomendada",IF(R60&gt;=40,"Condicional","Lista de espera"))))</f>
      </c>
      <c r="T60" s="18"/>
      <c r="U60" s="14"/>
      <c r="V60" s="14"/>
    </row>
    <row r="61" ht="18" customHeight="1" spans="1:22" x14ac:dyDescent="0.25">
      <c r="A61" s="6">
        <v>59</v>
      </c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>
        <f>=IF(I61="","",IFERROR(IFERROR(VLOOKUP(I61,Listas!$A$15:$B$20,2,0),0)+IFERROR(VLOOKUP(J61,Listas!$A$24:$B$29,2,0),0)+IFERROR(VLOOKUP(K61,Listas!$A$33:$B$37,2,0),0)+IFERROR(VLOOKUP(L61,Listas!$A$41:$B$44,2,0),0)+IFERROR(VLOOKUP(M61,Listas!$A$48:$B$50,2,0),0)+IFERROR(VLOOKUP(N61,Listas!$A$54:$B$56,2,0),0)+IFERROR(VLOOKUP(O61,Listas!$A$60:$B$62,2,0),0)+IFERROR(VLOOKUP(P61,Listas!$A$66:$B$69,2,0),0)+IFERROR(VLOOKUP(Q61,Listas!$A$73:$B$76,2,0),0),0))</f>
      </c>
      <c r="S61" s="10">
        <f>=IF(I61="","",IF(R61&gt;=80,"Prioritaria",IF(R61&gt;=60,"Recomendada",IF(R61&gt;=40,"Condicional","Lista de espera"))))</f>
      </c>
      <c r="T61" s="11"/>
      <c r="U61" s="8"/>
      <c r="V61" s="8"/>
    </row>
    <row r="62" ht="18" customHeight="1" spans="1:22" x14ac:dyDescent="0.25">
      <c r="A62" s="12">
        <v>60</v>
      </c>
      <c r="B62" s="13"/>
      <c r="C62" s="14"/>
      <c r="D62" s="14"/>
      <c r="E62" s="14"/>
      <c r="F62" s="14"/>
      <c r="G62" s="14"/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6">
        <f>=IF(I62="","",IFERROR(IFERROR(VLOOKUP(I62,Listas!$A$15:$B$20,2,0),0)+IFERROR(VLOOKUP(J62,Listas!$A$24:$B$29,2,0),0)+IFERROR(VLOOKUP(K62,Listas!$A$33:$B$37,2,0),0)+IFERROR(VLOOKUP(L62,Listas!$A$41:$B$44,2,0),0)+IFERROR(VLOOKUP(M62,Listas!$A$48:$B$50,2,0),0)+IFERROR(VLOOKUP(N62,Listas!$A$54:$B$56,2,0),0)+IFERROR(VLOOKUP(O62,Listas!$A$60:$B$62,2,0),0)+IFERROR(VLOOKUP(P62,Listas!$A$66:$B$69,2,0),0)+IFERROR(VLOOKUP(Q62,Listas!$A$73:$B$76,2,0),0),0))</f>
      </c>
      <c r="S62" s="17">
        <f>=IF(I62="","",IF(R62&gt;=80,"Prioritaria",IF(R62&gt;=60,"Recomendada",IF(R62&gt;=40,"Condicional","Lista de espera"))))</f>
      </c>
      <c r="T62" s="18"/>
      <c r="U62" s="14"/>
      <c r="V62" s="14"/>
    </row>
    <row r="63" ht="18" customHeight="1" spans="1:22" x14ac:dyDescent="0.25">
      <c r="A63" s="6">
        <v>61</v>
      </c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>
        <f>=IF(I63="","",IFERROR(IFERROR(VLOOKUP(I63,Listas!$A$15:$B$20,2,0),0)+IFERROR(VLOOKUP(J63,Listas!$A$24:$B$29,2,0),0)+IFERROR(VLOOKUP(K63,Listas!$A$33:$B$37,2,0),0)+IFERROR(VLOOKUP(L63,Listas!$A$41:$B$44,2,0),0)+IFERROR(VLOOKUP(M63,Listas!$A$48:$B$50,2,0),0)+IFERROR(VLOOKUP(N63,Listas!$A$54:$B$56,2,0),0)+IFERROR(VLOOKUP(O63,Listas!$A$60:$B$62,2,0),0)+IFERROR(VLOOKUP(P63,Listas!$A$66:$B$69,2,0),0)+IFERROR(VLOOKUP(Q63,Listas!$A$73:$B$76,2,0),0),0))</f>
      </c>
      <c r="S63" s="10">
        <f>=IF(I63="","",IF(R63&gt;=80,"Prioritaria",IF(R63&gt;=60,"Recomendada",IF(R63&gt;=40,"Condicional","Lista de espera"))))</f>
      </c>
      <c r="T63" s="11"/>
      <c r="U63" s="8"/>
      <c r="V63" s="8"/>
    </row>
    <row r="64" ht="18" customHeight="1" spans="1:22" x14ac:dyDescent="0.25">
      <c r="A64" s="12">
        <v>62</v>
      </c>
      <c r="B64" s="13"/>
      <c r="C64" s="14"/>
      <c r="D64" s="14"/>
      <c r="E64" s="14"/>
      <c r="F64" s="14"/>
      <c r="G64" s="14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6">
        <f>=IF(I64="","",IFERROR(IFERROR(VLOOKUP(I64,Listas!$A$15:$B$20,2,0),0)+IFERROR(VLOOKUP(J64,Listas!$A$24:$B$29,2,0),0)+IFERROR(VLOOKUP(K64,Listas!$A$33:$B$37,2,0),0)+IFERROR(VLOOKUP(L64,Listas!$A$41:$B$44,2,0),0)+IFERROR(VLOOKUP(M64,Listas!$A$48:$B$50,2,0),0)+IFERROR(VLOOKUP(N64,Listas!$A$54:$B$56,2,0),0)+IFERROR(VLOOKUP(O64,Listas!$A$60:$B$62,2,0),0)+IFERROR(VLOOKUP(P64,Listas!$A$66:$B$69,2,0),0)+IFERROR(VLOOKUP(Q64,Listas!$A$73:$B$76,2,0),0),0))</f>
      </c>
      <c r="S64" s="17">
        <f>=IF(I64="","",IF(R64&gt;=80,"Prioritaria",IF(R64&gt;=60,"Recomendada",IF(R64&gt;=40,"Condicional","Lista de espera"))))</f>
      </c>
      <c r="T64" s="18"/>
      <c r="U64" s="14"/>
      <c r="V64" s="14"/>
    </row>
    <row r="65" ht="18" customHeight="1" spans="1:22" x14ac:dyDescent="0.25">
      <c r="A65" s="6">
        <v>63</v>
      </c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>
        <f>=IF(I65="","",IFERROR(IFERROR(VLOOKUP(I65,Listas!$A$15:$B$20,2,0),0)+IFERROR(VLOOKUP(J65,Listas!$A$24:$B$29,2,0),0)+IFERROR(VLOOKUP(K65,Listas!$A$33:$B$37,2,0),0)+IFERROR(VLOOKUP(L65,Listas!$A$41:$B$44,2,0),0)+IFERROR(VLOOKUP(M65,Listas!$A$48:$B$50,2,0),0)+IFERROR(VLOOKUP(N65,Listas!$A$54:$B$56,2,0),0)+IFERROR(VLOOKUP(O65,Listas!$A$60:$B$62,2,0),0)+IFERROR(VLOOKUP(P65,Listas!$A$66:$B$69,2,0),0)+IFERROR(VLOOKUP(Q65,Listas!$A$73:$B$76,2,0),0),0))</f>
      </c>
      <c r="S65" s="10">
        <f>=IF(I65="","",IF(R65&gt;=80,"Prioritaria",IF(R65&gt;=60,"Recomendada",IF(R65&gt;=40,"Condicional","Lista de espera"))))</f>
      </c>
      <c r="T65" s="11"/>
      <c r="U65" s="8"/>
      <c r="V65" s="8"/>
    </row>
    <row r="66" ht="18" customHeight="1" spans="1:22" x14ac:dyDescent="0.25">
      <c r="A66" s="12">
        <v>64</v>
      </c>
      <c r="B66" s="13"/>
      <c r="C66" s="14"/>
      <c r="D66" s="14"/>
      <c r="E66" s="14"/>
      <c r="F66" s="14"/>
      <c r="G66" s="14"/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6">
        <f>=IF(I66="","",IFERROR(IFERROR(VLOOKUP(I66,Listas!$A$15:$B$20,2,0),0)+IFERROR(VLOOKUP(J66,Listas!$A$24:$B$29,2,0),0)+IFERROR(VLOOKUP(K66,Listas!$A$33:$B$37,2,0),0)+IFERROR(VLOOKUP(L66,Listas!$A$41:$B$44,2,0),0)+IFERROR(VLOOKUP(M66,Listas!$A$48:$B$50,2,0),0)+IFERROR(VLOOKUP(N66,Listas!$A$54:$B$56,2,0),0)+IFERROR(VLOOKUP(O66,Listas!$A$60:$B$62,2,0),0)+IFERROR(VLOOKUP(P66,Listas!$A$66:$B$69,2,0),0)+IFERROR(VLOOKUP(Q66,Listas!$A$73:$B$76,2,0),0),0))</f>
      </c>
      <c r="S66" s="17">
        <f>=IF(I66="","",IF(R66&gt;=80,"Prioritaria",IF(R66&gt;=60,"Recomendada",IF(R66&gt;=40,"Condicional","Lista de espera"))))</f>
      </c>
      <c r="T66" s="18"/>
      <c r="U66" s="14"/>
      <c r="V66" s="14"/>
    </row>
    <row r="67" ht="18" customHeight="1" spans="1:22" x14ac:dyDescent="0.25">
      <c r="A67" s="6">
        <v>65</v>
      </c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>
        <f>=IF(I67="","",IFERROR(IFERROR(VLOOKUP(I67,Listas!$A$15:$B$20,2,0),0)+IFERROR(VLOOKUP(J67,Listas!$A$24:$B$29,2,0),0)+IFERROR(VLOOKUP(K67,Listas!$A$33:$B$37,2,0),0)+IFERROR(VLOOKUP(L67,Listas!$A$41:$B$44,2,0),0)+IFERROR(VLOOKUP(M67,Listas!$A$48:$B$50,2,0),0)+IFERROR(VLOOKUP(N67,Listas!$A$54:$B$56,2,0),0)+IFERROR(VLOOKUP(O67,Listas!$A$60:$B$62,2,0),0)+IFERROR(VLOOKUP(P67,Listas!$A$66:$B$69,2,0),0)+IFERROR(VLOOKUP(Q67,Listas!$A$73:$B$76,2,0),0),0))</f>
      </c>
      <c r="S67" s="10">
        <f>=IF(I67="","",IF(R67&gt;=80,"Prioritaria",IF(R67&gt;=60,"Recomendada",IF(R67&gt;=40,"Condicional","Lista de espera"))))</f>
      </c>
      <c r="T67" s="11"/>
      <c r="U67" s="8"/>
      <c r="V67" s="8"/>
    </row>
    <row r="68" ht="18" customHeight="1" spans="1:22" x14ac:dyDescent="0.25">
      <c r="A68" s="12">
        <v>66</v>
      </c>
      <c r="B68" s="13"/>
      <c r="C68" s="14"/>
      <c r="D68" s="14"/>
      <c r="E68" s="14"/>
      <c r="F68" s="14"/>
      <c r="G68" s="14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6">
        <f>=IF(I68="","",IFERROR(IFERROR(VLOOKUP(I68,Listas!$A$15:$B$20,2,0),0)+IFERROR(VLOOKUP(J68,Listas!$A$24:$B$29,2,0),0)+IFERROR(VLOOKUP(K68,Listas!$A$33:$B$37,2,0),0)+IFERROR(VLOOKUP(L68,Listas!$A$41:$B$44,2,0),0)+IFERROR(VLOOKUP(M68,Listas!$A$48:$B$50,2,0),0)+IFERROR(VLOOKUP(N68,Listas!$A$54:$B$56,2,0),0)+IFERROR(VLOOKUP(O68,Listas!$A$60:$B$62,2,0),0)+IFERROR(VLOOKUP(P68,Listas!$A$66:$B$69,2,0),0)+IFERROR(VLOOKUP(Q68,Listas!$A$73:$B$76,2,0),0),0))</f>
      </c>
      <c r="S68" s="17">
        <f>=IF(I68="","",IF(R68&gt;=80,"Prioritaria",IF(R68&gt;=60,"Recomendada",IF(R68&gt;=40,"Condicional","Lista de espera"))))</f>
      </c>
      <c r="T68" s="18"/>
      <c r="U68" s="14"/>
      <c r="V68" s="14"/>
    </row>
    <row r="69" ht="18" customHeight="1" spans="1:22" x14ac:dyDescent="0.25">
      <c r="A69" s="6">
        <v>67</v>
      </c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>
        <f>=IF(I69="","",IFERROR(IFERROR(VLOOKUP(I69,Listas!$A$15:$B$20,2,0),0)+IFERROR(VLOOKUP(J69,Listas!$A$24:$B$29,2,0),0)+IFERROR(VLOOKUP(K69,Listas!$A$33:$B$37,2,0),0)+IFERROR(VLOOKUP(L69,Listas!$A$41:$B$44,2,0),0)+IFERROR(VLOOKUP(M69,Listas!$A$48:$B$50,2,0),0)+IFERROR(VLOOKUP(N69,Listas!$A$54:$B$56,2,0),0)+IFERROR(VLOOKUP(O69,Listas!$A$60:$B$62,2,0),0)+IFERROR(VLOOKUP(P69,Listas!$A$66:$B$69,2,0),0)+IFERROR(VLOOKUP(Q69,Listas!$A$73:$B$76,2,0),0),0))</f>
      </c>
      <c r="S69" s="10">
        <f>=IF(I69="","",IF(R69&gt;=80,"Prioritaria",IF(R69&gt;=60,"Recomendada",IF(R69&gt;=40,"Condicional","Lista de espera"))))</f>
      </c>
      <c r="T69" s="11"/>
      <c r="U69" s="8"/>
      <c r="V69" s="8"/>
    </row>
    <row r="70" ht="18" customHeight="1" spans="1:22" x14ac:dyDescent="0.25">
      <c r="A70" s="12">
        <v>68</v>
      </c>
      <c r="B70" s="13"/>
      <c r="C70" s="14"/>
      <c r="D70" s="14"/>
      <c r="E70" s="14"/>
      <c r="F70" s="14"/>
      <c r="G70" s="14"/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6">
        <f>=IF(I70="","",IFERROR(IFERROR(VLOOKUP(I70,Listas!$A$15:$B$20,2,0),0)+IFERROR(VLOOKUP(J70,Listas!$A$24:$B$29,2,0),0)+IFERROR(VLOOKUP(K70,Listas!$A$33:$B$37,2,0),0)+IFERROR(VLOOKUP(L70,Listas!$A$41:$B$44,2,0),0)+IFERROR(VLOOKUP(M70,Listas!$A$48:$B$50,2,0),0)+IFERROR(VLOOKUP(N70,Listas!$A$54:$B$56,2,0),0)+IFERROR(VLOOKUP(O70,Listas!$A$60:$B$62,2,0),0)+IFERROR(VLOOKUP(P70,Listas!$A$66:$B$69,2,0),0)+IFERROR(VLOOKUP(Q70,Listas!$A$73:$B$76,2,0),0),0))</f>
      </c>
      <c r="S70" s="17">
        <f>=IF(I70="","",IF(R70&gt;=80,"Prioritaria",IF(R70&gt;=60,"Recomendada",IF(R70&gt;=40,"Condicional","Lista de espera"))))</f>
      </c>
      <c r="T70" s="18"/>
      <c r="U70" s="14"/>
      <c r="V70" s="14"/>
    </row>
    <row r="71" ht="18" customHeight="1" spans="1:22" x14ac:dyDescent="0.25">
      <c r="A71" s="6">
        <v>69</v>
      </c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>
        <f>=IF(I71="","",IFERROR(IFERROR(VLOOKUP(I71,Listas!$A$15:$B$20,2,0),0)+IFERROR(VLOOKUP(J71,Listas!$A$24:$B$29,2,0),0)+IFERROR(VLOOKUP(K71,Listas!$A$33:$B$37,2,0),0)+IFERROR(VLOOKUP(L71,Listas!$A$41:$B$44,2,0),0)+IFERROR(VLOOKUP(M71,Listas!$A$48:$B$50,2,0),0)+IFERROR(VLOOKUP(N71,Listas!$A$54:$B$56,2,0),0)+IFERROR(VLOOKUP(O71,Listas!$A$60:$B$62,2,0),0)+IFERROR(VLOOKUP(P71,Listas!$A$66:$B$69,2,0),0)+IFERROR(VLOOKUP(Q71,Listas!$A$73:$B$76,2,0),0),0))</f>
      </c>
      <c r="S71" s="10">
        <f>=IF(I71="","",IF(R71&gt;=80,"Prioritaria",IF(R71&gt;=60,"Recomendada",IF(R71&gt;=40,"Condicional","Lista de espera"))))</f>
      </c>
      <c r="T71" s="11"/>
      <c r="U71" s="8"/>
      <c r="V71" s="8"/>
    </row>
    <row r="72" ht="18" customHeight="1" spans="1:22" x14ac:dyDescent="0.25">
      <c r="A72" s="12">
        <v>70</v>
      </c>
      <c r="B72" s="13"/>
      <c r="C72" s="14"/>
      <c r="D72" s="14"/>
      <c r="E72" s="14"/>
      <c r="F72" s="14"/>
      <c r="G72" s="14"/>
      <c r="H72" s="14"/>
      <c r="I72" s="15"/>
      <c r="J72" s="15"/>
      <c r="K72" s="15"/>
      <c r="L72" s="15"/>
      <c r="M72" s="15"/>
      <c r="N72" s="15"/>
      <c r="O72" s="15"/>
      <c r="P72" s="15"/>
      <c r="Q72" s="15"/>
      <c r="R72" s="16">
        <f>=IF(I72="","",IFERROR(IFERROR(VLOOKUP(I72,Listas!$A$15:$B$20,2,0),0)+IFERROR(VLOOKUP(J72,Listas!$A$24:$B$29,2,0),0)+IFERROR(VLOOKUP(K72,Listas!$A$33:$B$37,2,0),0)+IFERROR(VLOOKUP(L72,Listas!$A$41:$B$44,2,0),0)+IFERROR(VLOOKUP(M72,Listas!$A$48:$B$50,2,0),0)+IFERROR(VLOOKUP(N72,Listas!$A$54:$B$56,2,0),0)+IFERROR(VLOOKUP(O72,Listas!$A$60:$B$62,2,0),0)+IFERROR(VLOOKUP(P72,Listas!$A$66:$B$69,2,0),0)+IFERROR(VLOOKUP(Q72,Listas!$A$73:$B$76,2,0),0),0))</f>
      </c>
      <c r="S72" s="17">
        <f>=IF(I72="","",IF(R72&gt;=80,"Prioritaria",IF(R72&gt;=60,"Recomendada",IF(R72&gt;=40,"Condicional","Lista de espera"))))</f>
      </c>
      <c r="T72" s="18"/>
      <c r="U72" s="14"/>
      <c r="V72" s="14"/>
    </row>
    <row r="73" ht="18" customHeight="1" spans="1:22" x14ac:dyDescent="0.25">
      <c r="A73" s="6">
        <v>71</v>
      </c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>
        <f>=IF(I73="","",IFERROR(IFERROR(VLOOKUP(I73,Listas!$A$15:$B$20,2,0),0)+IFERROR(VLOOKUP(J73,Listas!$A$24:$B$29,2,0),0)+IFERROR(VLOOKUP(K73,Listas!$A$33:$B$37,2,0),0)+IFERROR(VLOOKUP(L73,Listas!$A$41:$B$44,2,0),0)+IFERROR(VLOOKUP(M73,Listas!$A$48:$B$50,2,0),0)+IFERROR(VLOOKUP(N73,Listas!$A$54:$B$56,2,0),0)+IFERROR(VLOOKUP(O73,Listas!$A$60:$B$62,2,0),0)+IFERROR(VLOOKUP(P73,Listas!$A$66:$B$69,2,0),0)+IFERROR(VLOOKUP(Q73,Listas!$A$73:$B$76,2,0),0),0))</f>
      </c>
      <c r="S73" s="10">
        <f>=IF(I73="","",IF(R73&gt;=80,"Prioritaria",IF(R73&gt;=60,"Recomendada",IF(R73&gt;=40,"Condicional","Lista de espera"))))</f>
      </c>
      <c r="T73" s="11"/>
      <c r="U73" s="8"/>
      <c r="V73" s="8"/>
    </row>
    <row r="74" ht="18" customHeight="1" spans="1:22" x14ac:dyDescent="0.25">
      <c r="A74" s="12">
        <v>72</v>
      </c>
      <c r="B74" s="13"/>
      <c r="C74" s="14"/>
      <c r="D74" s="14"/>
      <c r="E74" s="14"/>
      <c r="F74" s="14"/>
      <c r="G74" s="14"/>
      <c r="H74" s="14"/>
      <c r="I74" s="15"/>
      <c r="J74" s="15"/>
      <c r="K74" s="15"/>
      <c r="L74" s="15"/>
      <c r="M74" s="15"/>
      <c r="N74" s="15"/>
      <c r="O74" s="15"/>
      <c r="P74" s="15"/>
      <c r="Q74" s="15"/>
      <c r="R74" s="16">
        <f>=IF(I74="","",IFERROR(IFERROR(VLOOKUP(I74,Listas!$A$15:$B$20,2,0),0)+IFERROR(VLOOKUP(J74,Listas!$A$24:$B$29,2,0),0)+IFERROR(VLOOKUP(K74,Listas!$A$33:$B$37,2,0),0)+IFERROR(VLOOKUP(L74,Listas!$A$41:$B$44,2,0),0)+IFERROR(VLOOKUP(M74,Listas!$A$48:$B$50,2,0),0)+IFERROR(VLOOKUP(N74,Listas!$A$54:$B$56,2,0),0)+IFERROR(VLOOKUP(O74,Listas!$A$60:$B$62,2,0),0)+IFERROR(VLOOKUP(P74,Listas!$A$66:$B$69,2,0),0)+IFERROR(VLOOKUP(Q74,Listas!$A$73:$B$76,2,0),0),0))</f>
      </c>
      <c r="S74" s="17">
        <f>=IF(I74="","",IF(R74&gt;=80,"Prioritaria",IF(R74&gt;=60,"Recomendada",IF(R74&gt;=40,"Condicional","Lista de espera"))))</f>
      </c>
      <c r="T74" s="18"/>
      <c r="U74" s="14"/>
      <c r="V74" s="14"/>
    </row>
    <row r="75" ht="18" customHeight="1" spans="1:22" x14ac:dyDescent="0.25">
      <c r="A75" s="6">
        <v>73</v>
      </c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>
        <f>=IF(I75="","",IFERROR(IFERROR(VLOOKUP(I75,Listas!$A$15:$B$20,2,0),0)+IFERROR(VLOOKUP(J75,Listas!$A$24:$B$29,2,0),0)+IFERROR(VLOOKUP(K75,Listas!$A$33:$B$37,2,0),0)+IFERROR(VLOOKUP(L75,Listas!$A$41:$B$44,2,0),0)+IFERROR(VLOOKUP(M75,Listas!$A$48:$B$50,2,0),0)+IFERROR(VLOOKUP(N75,Listas!$A$54:$B$56,2,0),0)+IFERROR(VLOOKUP(O75,Listas!$A$60:$B$62,2,0),0)+IFERROR(VLOOKUP(P75,Listas!$A$66:$B$69,2,0),0)+IFERROR(VLOOKUP(Q75,Listas!$A$73:$B$76,2,0),0),0))</f>
      </c>
      <c r="S75" s="10">
        <f>=IF(I75="","",IF(R75&gt;=80,"Prioritaria",IF(R75&gt;=60,"Recomendada",IF(R75&gt;=40,"Condicional","Lista de espera"))))</f>
      </c>
      <c r="T75" s="11"/>
      <c r="U75" s="8"/>
      <c r="V75" s="8"/>
    </row>
    <row r="76" ht="18" customHeight="1" spans="1:22" x14ac:dyDescent="0.25">
      <c r="A76" s="12">
        <v>74</v>
      </c>
      <c r="B76" s="13"/>
      <c r="C76" s="14"/>
      <c r="D76" s="14"/>
      <c r="E76" s="14"/>
      <c r="F76" s="14"/>
      <c r="G76" s="14"/>
      <c r="H76" s="14"/>
      <c r="I76" s="15"/>
      <c r="J76" s="15"/>
      <c r="K76" s="15"/>
      <c r="L76" s="15"/>
      <c r="M76" s="15"/>
      <c r="N76" s="15"/>
      <c r="O76" s="15"/>
      <c r="P76" s="15"/>
      <c r="Q76" s="15"/>
      <c r="R76" s="16">
        <f>=IF(I76="","",IFERROR(IFERROR(VLOOKUP(I76,Listas!$A$15:$B$20,2,0),0)+IFERROR(VLOOKUP(J76,Listas!$A$24:$B$29,2,0),0)+IFERROR(VLOOKUP(K76,Listas!$A$33:$B$37,2,0),0)+IFERROR(VLOOKUP(L76,Listas!$A$41:$B$44,2,0),0)+IFERROR(VLOOKUP(M76,Listas!$A$48:$B$50,2,0),0)+IFERROR(VLOOKUP(N76,Listas!$A$54:$B$56,2,0),0)+IFERROR(VLOOKUP(O76,Listas!$A$60:$B$62,2,0),0)+IFERROR(VLOOKUP(P76,Listas!$A$66:$B$69,2,0),0)+IFERROR(VLOOKUP(Q76,Listas!$A$73:$B$76,2,0),0),0))</f>
      </c>
      <c r="S76" s="17">
        <f>=IF(I76="","",IF(R76&gt;=80,"Prioritaria",IF(R76&gt;=60,"Recomendada",IF(R76&gt;=40,"Condicional","Lista de espera"))))</f>
      </c>
      <c r="T76" s="18"/>
      <c r="U76" s="14"/>
      <c r="V76" s="14"/>
    </row>
    <row r="77" ht="18" customHeight="1" spans="1:22" x14ac:dyDescent="0.25">
      <c r="A77" s="6">
        <v>75</v>
      </c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>
        <f>=IF(I77="","",IFERROR(IFERROR(VLOOKUP(I77,Listas!$A$15:$B$20,2,0),0)+IFERROR(VLOOKUP(J77,Listas!$A$24:$B$29,2,0),0)+IFERROR(VLOOKUP(K77,Listas!$A$33:$B$37,2,0),0)+IFERROR(VLOOKUP(L77,Listas!$A$41:$B$44,2,0),0)+IFERROR(VLOOKUP(M77,Listas!$A$48:$B$50,2,0),0)+IFERROR(VLOOKUP(N77,Listas!$A$54:$B$56,2,0),0)+IFERROR(VLOOKUP(O77,Listas!$A$60:$B$62,2,0),0)+IFERROR(VLOOKUP(P77,Listas!$A$66:$B$69,2,0),0)+IFERROR(VLOOKUP(Q77,Listas!$A$73:$B$76,2,0),0),0))</f>
      </c>
      <c r="S77" s="10">
        <f>=IF(I77="","",IF(R77&gt;=80,"Prioritaria",IF(R77&gt;=60,"Recomendada",IF(R77&gt;=40,"Condicional","Lista de espera"))))</f>
      </c>
      <c r="T77" s="11"/>
      <c r="U77" s="8"/>
      <c r="V77" s="8"/>
    </row>
    <row r="78" ht="18" customHeight="1" spans="1:22" x14ac:dyDescent="0.25">
      <c r="A78" s="12">
        <v>76</v>
      </c>
      <c r="B78" s="13"/>
      <c r="C78" s="14"/>
      <c r="D78" s="14"/>
      <c r="E78" s="14"/>
      <c r="F78" s="14"/>
      <c r="G78" s="14"/>
      <c r="H78" s="14"/>
      <c r="I78" s="15"/>
      <c r="J78" s="15"/>
      <c r="K78" s="15"/>
      <c r="L78" s="15"/>
      <c r="M78" s="15"/>
      <c r="N78" s="15"/>
      <c r="O78" s="15"/>
      <c r="P78" s="15"/>
      <c r="Q78" s="15"/>
      <c r="R78" s="16">
        <f>=IF(I78="","",IFERROR(IFERROR(VLOOKUP(I78,Listas!$A$15:$B$20,2,0),0)+IFERROR(VLOOKUP(J78,Listas!$A$24:$B$29,2,0),0)+IFERROR(VLOOKUP(K78,Listas!$A$33:$B$37,2,0),0)+IFERROR(VLOOKUP(L78,Listas!$A$41:$B$44,2,0),0)+IFERROR(VLOOKUP(M78,Listas!$A$48:$B$50,2,0),0)+IFERROR(VLOOKUP(N78,Listas!$A$54:$B$56,2,0),0)+IFERROR(VLOOKUP(O78,Listas!$A$60:$B$62,2,0),0)+IFERROR(VLOOKUP(P78,Listas!$A$66:$B$69,2,0),0)+IFERROR(VLOOKUP(Q78,Listas!$A$73:$B$76,2,0),0),0))</f>
      </c>
      <c r="S78" s="17">
        <f>=IF(I78="","",IF(R78&gt;=80,"Prioritaria",IF(R78&gt;=60,"Recomendada",IF(R78&gt;=40,"Condicional","Lista de espera"))))</f>
      </c>
      <c r="T78" s="18"/>
      <c r="U78" s="14"/>
      <c r="V78" s="14"/>
    </row>
    <row r="79" ht="18" customHeight="1" spans="1:22" x14ac:dyDescent="0.25">
      <c r="A79" s="6">
        <v>77</v>
      </c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>
        <f>=IF(I79="","",IFERROR(IFERROR(VLOOKUP(I79,Listas!$A$15:$B$20,2,0),0)+IFERROR(VLOOKUP(J79,Listas!$A$24:$B$29,2,0),0)+IFERROR(VLOOKUP(K79,Listas!$A$33:$B$37,2,0),0)+IFERROR(VLOOKUP(L79,Listas!$A$41:$B$44,2,0),0)+IFERROR(VLOOKUP(M79,Listas!$A$48:$B$50,2,0),0)+IFERROR(VLOOKUP(N79,Listas!$A$54:$B$56,2,0),0)+IFERROR(VLOOKUP(O79,Listas!$A$60:$B$62,2,0),0)+IFERROR(VLOOKUP(P79,Listas!$A$66:$B$69,2,0),0)+IFERROR(VLOOKUP(Q79,Listas!$A$73:$B$76,2,0),0),0))</f>
      </c>
      <c r="S79" s="10">
        <f>=IF(I79="","",IF(R79&gt;=80,"Prioritaria",IF(R79&gt;=60,"Recomendada",IF(R79&gt;=40,"Condicional","Lista de espera"))))</f>
      </c>
      <c r="T79" s="11"/>
      <c r="U79" s="8"/>
      <c r="V79" s="8"/>
    </row>
    <row r="80" ht="18" customHeight="1" spans="1:22" x14ac:dyDescent="0.25">
      <c r="A80" s="12">
        <v>78</v>
      </c>
      <c r="B80" s="13"/>
      <c r="C80" s="14"/>
      <c r="D80" s="14"/>
      <c r="E80" s="14"/>
      <c r="F80" s="14"/>
      <c r="G80" s="14"/>
      <c r="H80" s="14"/>
      <c r="I80" s="15"/>
      <c r="J80" s="15"/>
      <c r="K80" s="15"/>
      <c r="L80" s="15"/>
      <c r="M80" s="15"/>
      <c r="N80" s="15"/>
      <c r="O80" s="15"/>
      <c r="P80" s="15"/>
      <c r="Q80" s="15"/>
      <c r="R80" s="16">
        <f>=IF(I80="","",IFERROR(IFERROR(VLOOKUP(I80,Listas!$A$15:$B$20,2,0),0)+IFERROR(VLOOKUP(J80,Listas!$A$24:$B$29,2,0),0)+IFERROR(VLOOKUP(K80,Listas!$A$33:$B$37,2,0),0)+IFERROR(VLOOKUP(L80,Listas!$A$41:$B$44,2,0),0)+IFERROR(VLOOKUP(M80,Listas!$A$48:$B$50,2,0),0)+IFERROR(VLOOKUP(N80,Listas!$A$54:$B$56,2,0),0)+IFERROR(VLOOKUP(O80,Listas!$A$60:$B$62,2,0),0)+IFERROR(VLOOKUP(P80,Listas!$A$66:$B$69,2,0),0)+IFERROR(VLOOKUP(Q80,Listas!$A$73:$B$76,2,0),0),0))</f>
      </c>
      <c r="S80" s="17">
        <f>=IF(I80="","",IF(R80&gt;=80,"Prioritaria",IF(R80&gt;=60,"Recomendada",IF(R80&gt;=40,"Condicional","Lista de espera"))))</f>
      </c>
      <c r="T80" s="18"/>
      <c r="U80" s="14"/>
      <c r="V80" s="14"/>
    </row>
    <row r="81" ht="18" customHeight="1" spans="1:22" x14ac:dyDescent="0.25">
      <c r="A81" s="6">
        <v>79</v>
      </c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>
        <f>=IF(I81="","",IFERROR(IFERROR(VLOOKUP(I81,Listas!$A$15:$B$20,2,0),0)+IFERROR(VLOOKUP(J81,Listas!$A$24:$B$29,2,0),0)+IFERROR(VLOOKUP(K81,Listas!$A$33:$B$37,2,0),0)+IFERROR(VLOOKUP(L81,Listas!$A$41:$B$44,2,0),0)+IFERROR(VLOOKUP(M81,Listas!$A$48:$B$50,2,0),0)+IFERROR(VLOOKUP(N81,Listas!$A$54:$B$56,2,0),0)+IFERROR(VLOOKUP(O81,Listas!$A$60:$B$62,2,0),0)+IFERROR(VLOOKUP(P81,Listas!$A$66:$B$69,2,0),0)+IFERROR(VLOOKUP(Q81,Listas!$A$73:$B$76,2,0),0),0))</f>
      </c>
      <c r="S81" s="10">
        <f>=IF(I81="","",IF(R81&gt;=80,"Prioritaria",IF(R81&gt;=60,"Recomendada",IF(R81&gt;=40,"Condicional","Lista de espera"))))</f>
      </c>
      <c r="T81" s="11"/>
      <c r="U81" s="8"/>
      <c r="V81" s="8"/>
    </row>
    <row r="82" ht="18" customHeight="1" spans="1:22" x14ac:dyDescent="0.25">
      <c r="A82" s="12">
        <v>80</v>
      </c>
      <c r="B82" s="13"/>
      <c r="C82" s="14"/>
      <c r="D82" s="14"/>
      <c r="E82" s="14"/>
      <c r="F82" s="14"/>
      <c r="G82" s="14"/>
      <c r="H82" s="14"/>
      <c r="I82" s="15"/>
      <c r="J82" s="15"/>
      <c r="K82" s="15"/>
      <c r="L82" s="15"/>
      <c r="M82" s="15"/>
      <c r="N82" s="15"/>
      <c r="O82" s="15"/>
      <c r="P82" s="15"/>
      <c r="Q82" s="15"/>
      <c r="R82" s="16">
        <f>=IF(I82="","",IFERROR(IFERROR(VLOOKUP(I82,Listas!$A$15:$B$20,2,0),0)+IFERROR(VLOOKUP(J82,Listas!$A$24:$B$29,2,0),0)+IFERROR(VLOOKUP(K82,Listas!$A$33:$B$37,2,0),0)+IFERROR(VLOOKUP(L82,Listas!$A$41:$B$44,2,0),0)+IFERROR(VLOOKUP(M82,Listas!$A$48:$B$50,2,0),0)+IFERROR(VLOOKUP(N82,Listas!$A$54:$B$56,2,0),0)+IFERROR(VLOOKUP(O82,Listas!$A$60:$B$62,2,0),0)+IFERROR(VLOOKUP(P82,Listas!$A$66:$B$69,2,0),0)+IFERROR(VLOOKUP(Q82,Listas!$A$73:$B$76,2,0),0),0))</f>
      </c>
      <c r="S82" s="17">
        <f>=IF(I82="","",IF(R82&gt;=80,"Prioritaria",IF(R82&gt;=60,"Recomendada",IF(R82&gt;=40,"Condicional","Lista de espera"))))</f>
      </c>
      <c r="T82" s="18"/>
      <c r="U82" s="14"/>
      <c r="V82" s="14"/>
    </row>
    <row r="83" ht="18" customHeight="1" spans="1:22" x14ac:dyDescent="0.25">
      <c r="A83" s="6">
        <v>81</v>
      </c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>
        <f>=IF(I83="","",IFERROR(IFERROR(VLOOKUP(I83,Listas!$A$15:$B$20,2,0),0)+IFERROR(VLOOKUP(J83,Listas!$A$24:$B$29,2,0),0)+IFERROR(VLOOKUP(K83,Listas!$A$33:$B$37,2,0),0)+IFERROR(VLOOKUP(L83,Listas!$A$41:$B$44,2,0),0)+IFERROR(VLOOKUP(M83,Listas!$A$48:$B$50,2,0),0)+IFERROR(VLOOKUP(N83,Listas!$A$54:$B$56,2,0),0)+IFERROR(VLOOKUP(O83,Listas!$A$60:$B$62,2,0),0)+IFERROR(VLOOKUP(P83,Listas!$A$66:$B$69,2,0),0)+IFERROR(VLOOKUP(Q83,Listas!$A$73:$B$76,2,0),0),0))</f>
      </c>
      <c r="S83" s="10">
        <f>=IF(I83="","",IF(R83&gt;=80,"Prioritaria",IF(R83&gt;=60,"Recomendada",IF(R83&gt;=40,"Condicional","Lista de espera"))))</f>
      </c>
      <c r="T83" s="11"/>
      <c r="U83" s="8"/>
      <c r="V83" s="8"/>
    </row>
    <row r="84" ht="18" customHeight="1" spans="1:22" x14ac:dyDescent="0.25">
      <c r="A84" s="12">
        <v>82</v>
      </c>
      <c r="B84" s="13"/>
      <c r="C84" s="14"/>
      <c r="D84" s="14"/>
      <c r="E84" s="14"/>
      <c r="F84" s="14"/>
      <c r="G84" s="14"/>
      <c r="H84" s="14"/>
      <c r="I84" s="15"/>
      <c r="J84" s="15"/>
      <c r="K84" s="15"/>
      <c r="L84" s="15"/>
      <c r="M84" s="15"/>
      <c r="N84" s="15"/>
      <c r="O84" s="15"/>
      <c r="P84" s="15"/>
      <c r="Q84" s="15"/>
      <c r="R84" s="16">
        <f>=IF(I84="","",IFERROR(IFERROR(VLOOKUP(I84,Listas!$A$15:$B$20,2,0),0)+IFERROR(VLOOKUP(J84,Listas!$A$24:$B$29,2,0),0)+IFERROR(VLOOKUP(K84,Listas!$A$33:$B$37,2,0),0)+IFERROR(VLOOKUP(L84,Listas!$A$41:$B$44,2,0),0)+IFERROR(VLOOKUP(M84,Listas!$A$48:$B$50,2,0),0)+IFERROR(VLOOKUP(N84,Listas!$A$54:$B$56,2,0),0)+IFERROR(VLOOKUP(O84,Listas!$A$60:$B$62,2,0),0)+IFERROR(VLOOKUP(P84,Listas!$A$66:$B$69,2,0),0)+IFERROR(VLOOKUP(Q84,Listas!$A$73:$B$76,2,0),0),0))</f>
      </c>
      <c r="S84" s="17">
        <f>=IF(I84="","",IF(R84&gt;=80,"Prioritaria",IF(R84&gt;=60,"Recomendada",IF(R84&gt;=40,"Condicional","Lista de espera"))))</f>
      </c>
      <c r="T84" s="18"/>
      <c r="U84" s="14"/>
      <c r="V84" s="14"/>
    </row>
    <row r="85" ht="18" customHeight="1" spans="1:22" x14ac:dyDescent="0.25">
      <c r="A85" s="6">
        <v>83</v>
      </c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>
        <f>=IF(I85="","",IFERROR(IFERROR(VLOOKUP(I85,Listas!$A$15:$B$20,2,0),0)+IFERROR(VLOOKUP(J85,Listas!$A$24:$B$29,2,0),0)+IFERROR(VLOOKUP(K85,Listas!$A$33:$B$37,2,0),0)+IFERROR(VLOOKUP(L85,Listas!$A$41:$B$44,2,0),0)+IFERROR(VLOOKUP(M85,Listas!$A$48:$B$50,2,0),0)+IFERROR(VLOOKUP(N85,Listas!$A$54:$B$56,2,0),0)+IFERROR(VLOOKUP(O85,Listas!$A$60:$B$62,2,0),0)+IFERROR(VLOOKUP(P85,Listas!$A$66:$B$69,2,0),0)+IFERROR(VLOOKUP(Q85,Listas!$A$73:$B$76,2,0),0),0))</f>
      </c>
      <c r="S85" s="10">
        <f>=IF(I85="","",IF(R85&gt;=80,"Prioritaria",IF(R85&gt;=60,"Recomendada",IF(R85&gt;=40,"Condicional","Lista de espera"))))</f>
      </c>
      <c r="T85" s="11"/>
      <c r="U85" s="8"/>
      <c r="V85" s="8"/>
    </row>
    <row r="86" ht="18" customHeight="1" spans="1:22" x14ac:dyDescent="0.25">
      <c r="A86" s="12">
        <v>84</v>
      </c>
      <c r="B86" s="13"/>
      <c r="C86" s="14"/>
      <c r="D86" s="14"/>
      <c r="E86" s="14"/>
      <c r="F86" s="14"/>
      <c r="G86" s="14"/>
      <c r="H86" s="14"/>
      <c r="I86" s="15"/>
      <c r="J86" s="15"/>
      <c r="K86" s="15"/>
      <c r="L86" s="15"/>
      <c r="M86" s="15"/>
      <c r="N86" s="15"/>
      <c r="O86" s="15"/>
      <c r="P86" s="15"/>
      <c r="Q86" s="15"/>
      <c r="R86" s="16">
        <f>=IF(I86="","",IFERROR(IFERROR(VLOOKUP(I86,Listas!$A$15:$B$20,2,0),0)+IFERROR(VLOOKUP(J86,Listas!$A$24:$B$29,2,0),0)+IFERROR(VLOOKUP(K86,Listas!$A$33:$B$37,2,0),0)+IFERROR(VLOOKUP(L86,Listas!$A$41:$B$44,2,0),0)+IFERROR(VLOOKUP(M86,Listas!$A$48:$B$50,2,0),0)+IFERROR(VLOOKUP(N86,Listas!$A$54:$B$56,2,0),0)+IFERROR(VLOOKUP(O86,Listas!$A$60:$B$62,2,0),0)+IFERROR(VLOOKUP(P86,Listas!$A$66:$B$69,2,0),0)+IFERROR(VLOOKUP(Q86,Listas!$A$73:$B$76,2,0),0),0))</f>
      </c>
      <c r="S86" s="17">
        <f>=IF(I86="","",IF(R86&gt;=80,"Prioritaria",IF(R86&gt;=60,"Recomendada",IF(R86&gt;=40,"Condicional","Lista de espera"))))</f>
      </c>
      <c r="T86" s="18"/>
      <c r="U86" s="14"/>
      <c r="V86" s="14"/>
    </row>
    <row r="87" ht="18" customHeight="1" spans="1:22" x14ac:dyDescent="0.25">
      <c r="A87" s="6">
        <v>85</v>
      </c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>
        <f>=IF(I87="","",IFERROR(IFERROR(VLOOKUP(I87,Listas!$A$15:$B$20,2,0),0)+IFERROR(VLOOKUP(J87,Listas!$A$24:$B$29,2,0),0)+IFERROR(VLOOKUP(K87,Listas!$A$33:$B$37,2,0),0)+IFERROR(VLOOKUP(L87,Listas!$A$41:$B$44,2,0),0)+IFERROR(VLOOKUP(M87,Listas!$A$48:$B$50,2,0),0)+IFERROR(VLOOKUP(N87,Listas!$A$54:$B$56,2,0),0)+IFERROR(VLOOKUP(O87,Listas!$A$60:$B$62,2,0),0)+IFERROR(VLOOKUP(P87,Listas!$A$66:$B$69,2,0),0)+IFERROR(VLOOKUP(Q87,Listas!$A$73:$B$76,2,0),0),0))</f>
      </c>
      <c r="S87" s="10">
        <f>=IF(I87="","",IF(R87&gt;=80,"Prioritaria",IF(R87&gt;=60,"Recomendada",IF(R87&gt;=40,"Condicional","Lista de espera"))))</f>
      </c>
      <c r="T87" s="11"/>
      <c r="U87" s="8"/>
      <c r="V87" s="8"/>
    </row>
    <row r="88" ht="18" customHeight="1" spans="1:22" x14ac:dyDescent="0.25">
      <c r="A88" s="12">
        <v>86</v>
      </c>
      <c r="B88" s="13"/>
      <c r="C88" s="14"/>
      <c r="D88" s="14"/>
      <c r="E88" s="14"/>
      <c r="F88" s="14"/>
      <c r="G88" s="14"/>
      <c r="H88" s="14"/>
      <c r="I88" s="15"/>
      <c r="J88" s="15"/>
      <c r="K88" s="15"/>
      <c r="L88" s="15"/>
      <c r="M88" s="15"/>
      <c r="N88" s="15"/>
      <c r="O88" s="15"/>
      <c r="P88" s="15"/>
      <c r="Q88" s="15"/>
      <c r="R88" s="16">
        <f>=IF(I88="","",IFERROR(IFERROR(VLOOKUP(I88,Listas!$A$15:$B$20,2,0),0)+IFERROR(VLOOKUP(J88,Listas!$A$24:$B$29,2,0),0)+IFERROR(VLOOKUP(K88,Listas!$A$33:$B$37,2,0),0)+IFERROR(VLOOKUP(L88,Listas!$A$41:$B$44,2,0),0)+IFERROR(VLOOKUP(M88,Listas!$A$48:$B$50,2,0),0)+IFERROR(VLOOKUP(N88,Listas!$A$54:$B$56,2,0),0)+IFERROR(VLOOKUP(O88,Listas!$A$60:$B$62,2,0),0)+IFERROR(VLOOKUP(P88,Listas!$A$66:$B$69,2,0),0)+IFERROR(VLOOKUP(Q88,Listas!$A$73:$B$76,2,0),0),0))</f>
      </c>
      <c r="S88" s="17">
        <f>=IF(I88="","",IF(R88&gt;=80,"Prioritaria",IF(R88&gt;=60,"Recomendada",IF(R88&gt;=40,"Condicional","Lista de espera"))))</f>
      </c>
      <c r="T88" s="18"/>
      <c r="U88" s="14"/>
      <c r="V88" s="14"/>
    </row>
    <row r="89" ht="18" customHeight="1" spans="1:22" x14ac:dyDescent="0.25">
      <c r="A89" s="6">
        <v>87</v>
      </c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>
        <f>=IF(I89="","",IFERROR(IFERROR(VLOOKUP(I89,Listas!$A$15:$B$20,2,0),0)+IFERROR(VLOOKUP(J89,Listas!$A$24:$B$29,2,0),0)+IFERROR(VLOOKUP(K89,Listas!$A$33:$B$37,2,0),0)+IFERROR(VLOOKUP(L89,Listas!$A$41:$B$44,2,0),0)+IFERROR(VLOOKUP(M89,Listas!$A$48:$B$50,2,0),0)+IFERROR(VLOOKUP(N89,Listas!$A$54:$B$56,2,0),0)+IFERROR(VLOOKUP(O89,Listas!$A$60:$B$62,2,0),0)+IFERROR(VLOOKUP(P89,Listas!$A$66:$B$69,2,0),0)+IFERROR(VLOOKUP(Q89,Listas!$A$73:$B$76,2,0),0),0))</f>
      </c>
      <c r="S89" s="10">
        <f>=IF(I89="","",IF(R89&gt;=80,"Prioritaria",IF(R89&gt;=60,"Recomendada",IF(R89&gt;=40,"Condicional","Lista de espera"))))</f>
      </c>
      <c r="T89" s="11"/>
      <c r="U89" s="8"/>
      <c r="V89" s="8"/>
    </row>
    <row r="90" ht="18" customHeight="1" spans="1:22" x14ac:dyDescent="0.25">
      <c r="A90" s="12">
        <v>88</v>
      </c>
      <c r="B90" s="13"/>
      <c r="C90" s="14"/>
      <c r="D90" s="14"/>
      <c r="E90" s="14"/>
      <c r="F90" s="14"/>
      <c r="G90" s="14"/>
      <c r="H90" s="14"/>
      <c r="I90" s="15"/>
      <c r="J90" s="15"/>
      <c r="K90" s="15"/>
      <c r="L90" s="15"/>
      <c r="M90" s="15"/>
      <c r="N90" s="15"/>
      <c r="O90" s="15"/>
      <c r="P90" s="15"/>
      <c r="Q90" s="15"/>
      <c r="R90" s="16">
        <f>=IF(I90="","",IFERROR(IFERROR(VLOOKUP(I90,Listas!$A$15:$B$20,2,0),0)+IFERROR(VLOOKUP(J90,Listas!$A$24:$B$29,2,0),0)+IFERROR(VLOOKUP(K90,Listas!$A$33:$B$37,2,0),0)+IFERROR(VLOOKUP(L90,Listas!$A$41:$B$44,2,0),0)+IFERROR(VLOOKUP(M90,Listas!$A$48:$B$50,2,0),0)+IFERROR(VLOOKUP(N90,Listas!$A$54:$B$56,2,0),0)+IFERROR(VLOOKUP(O90,Listas!$A$60:$B$62,2,0),0)+IFERROR(VLOOKUP(P90,Listas!$A$66:$B$69,2,0),0)+IFERROR(VLOOKUP(Q90,Listas!$A$73:$B$76,2,0),0),0))</f>
      </c>
      <c r="S90" s="17">
        <f>=IF(I90="","",IF(R90&gt;=80,"Prioritaria",IF(R90&gt;=60,"Recomendada",IF(R90&gt;=40,"Condicional","Lista de espera"))))</f>
      </c>
      <c r="T90" s="18"/>
      <c r="U90" s="14"/>
      <c r="V90" s="14"/>
    </row>
    <row r="91" ht="18" customHeight="1" spans="1:22" x14ac:dyDescent="0.25">
      <c r="A91" s="6">
        <v>89</v>
      </c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>
        <f>=IF(I91="","",IFERROR(IFERROR(VLOOKUP(I91,Listas!$A$15:$B$20,2,0),0)+IFERROR(VLOOKUP(J91,Listas!$A$24:$B$29,2,0),0)+IFERROR(VLOOKUP(K91,Listas!$A$33:$B$37,2,0),0)+IFERROR(VLOOKUP(L91,Listas!$A$41:$B$44,2,0),0)+IFERROR(VLOOKUP(M91,Listas!$A$48:$B$50,2,0),0)+IFERROR(VLOOKUP(N91,Listas!$A$54:$B$56,2,0),0)+IFERROR(VLOOKUP(O91,Listas!$A$60:$B$62,2,0),0)+IFERROR(VLOOKUP(P91,Listas!$A$66:$B$69,2,0),0)+IFERROR(VLOOKUP(Q91,Listas!$A$73:$B$76,2,0),0),0))</f>
      </c>
      <c r="S91" s="10">
        <f>=IF(I91="","",IF(R91&gt;=80,"Prioritaria",IF(R91&gt;=60,"Recomendada",IF(R91&gt;=40,"Condicional","Lista de espera"))))</f>
      </c>
      <c r="T91" s="11"/>
      <c r="U91" s="8"/>
      <c r="V91" s="8"/>
    </row>
    <row r="92" ht="18" customHeight="1" spans="1:22" x14ac:dyDescent="0.25">
      <c r="A92" s="12">
        <v>90</v>
      </c>
      <c r="B92" s="13"/>
      <c r="C92" s="14"/>
      <c r="D92" s="14"/>
      <c r="E92" s="14"/>
      <c r="F92" s="14"/>
      <c r="G92" s="14"/>
      <c r="H92" s="14"/>
      <c r="I92" s="15"/>
      <c r="J92" s="15"/>
      <c r="K92" s="15"/>
      <c r="L92" s="15"/>
      <c r="M92" s="15"/>
      <c r="N92" s="15"/>
      <c r="O92" s="15"/>
      <c r="P92" s="15"/>
      <c r="Q92" s="15"/>
      <c r="R92" s="16">
        <f>=IF(I92="","",IFERROR(IFERROR(VLOOKUP(I92,Listas!$A$15:$B$20,2,0),0)+IFERROR(VLOOKUP(J92,Listas!$A$24:$B$29,2,0),0)+IFERROR(VLOOKUP(K92,Listas!$A$33:$B$37,2,0),0)+IFERROR(VLOOKUP(L92,Listas!$A$41:$B$44,2,0),0)+IFERROR(VLOOKUP(M92,Listas!$A$48:$B$50,2,0),0)+IFERROR(VLOOKUP(N92,Listas!$A$54:$B$56,2,0),0)+IFERROR(VLOOKUP(O92,Listas!$A$60:$B$62,2,0),0)+IFERROR(VLOOKUP(P92,Listas!$A$66:$B$69,2,0),0)+IFERROR(VLOOKUP(Q92,Listas!$A$73:$B$76,2,0),0),0))</f>
      </c>
      <c r="S92" s="17">
        <f>=IF(I92="","",IF(R92&gt;=80,"Prioritaria",IF(R92&gt;=60,"Recomendada",IF(R92&gt;=40,"Condicional","Lista de espera"))))</f>
      </c>
      <c r="T92" s="18"/>
      <c r="U92" s="14"/>
      <c r="V92" s="14"/>
    </row>
    <row r="93" ht="18" customHeight="1" spans="1:22" x14ac:dyDescent="0.25">
      <c r="A93" s="6">
        <v>91</v>
      </c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9">
        <f>=IF(I93="","",IFERROR(IFERROR(VLOOKUP(I93,Listas!$A$15:$B$20,2,0),0)+IFERROR(VLOOKUP(J93,Listas!$A$24:$B$29,2,0),0)+IFERROR(VLOOKUP(K93,Listas!$A$33:$B$37,2,0),0)+IFERROR(VLOOKUP(L93,Listas!$A$41:$B$44,2,0),0)+IFERROR(VLOOKUP(M93,Listas!$A$48:$B$50,2,0),0)+IFERROR(VLOOKUP(N93,Listas!$A$54:$B$56,2,0),0)+IFERROR(VLOOKUP(O93,Listas!$A$60:$B$62,2,0),0)+IFERROR(VLOOKUP(P93,Listas!$A$66:$B$69,2,0),0)+IFERROR(VLOOKUP(Q93,Listas!$A$73:$B$76,2,0),0),0))</f>
      </c>
      <c r="S93" s="10">
        <f>=IF(I93="","",IF(R93&gt;=80,"Prioritaria",IF(R93&gt;=60,"Recomendada",IF(R93&gt;=40,"Condicional","Lista de espera"))))</f>
      </c>
      <c r="T93" s="11"/>
      <c r="U93" s="8"/>
      <c r="V93" s="8"/>
    </row>
    <row r="94" ht="18" customHeight="1" spans="1:22" x14ac:dyDescent="0.25">
      <c r="A94" s="12">
        <v>92</v>
      </c>
      <c r="B94" s="13"/>
      <c r="C94" s="14"/>
      <c r="D94" s="14"/>
      <c r="E94" s="14"/>
      <c r="F94" s="14"/>
      <c r="G94" s="14"/>
      <c r="H94" s="14"/>
      <c r="I94" s="15"/>
      <c r="J94" s="15"/>
      <c r="K94" s="15"/>
      <c r="L94" s="15"/>
      <c r="M94" s="15"/>
      <c r="N94" s="15"/>
      <c r="O94" s="15"/>
      <c r="P94" s="15"/>
      <c r="Q94" s="15"/>
      <c r="R94" s="16">
        <f>=IF(I94="","",IFERROR(IFERROR(VLOOKUP(I94,Listas!$A$15:$B$20,2,0),0)+IFERROR(VLOOKUP(J94,Listas!$A$24:$B$29,2,0),0)+IFERROR(VLOOKUP(K94,Listas!$A$33:$B$37,2,0),0)+IFERROR(VLOOKUP(L94,Listas!$A$41:$B$44,2,0),0)+IFERROR(VLOOKUP(M94,Listas!$A$48:$B$50,2,0),0)+IFERROR(VLOOKUP(N94,Listas!$A$54:$B$56,2,0),0)+IFERROR(VLOOKUP(O94,Listas!$A$60:$B$62,2,0),0)+IFERROR(VLOOKUP(P94,Listas!$A$66:$B$69,2,0),0)+IFERROR(VLOOKUP(Q94,Listas!$A$73:$B$76,2,0),0),0))</f>
      </c>
      <c r="S94" s="17">
        <f>=IF(I94="","",IF(R94&gt;=80,"Prioritaria",IF(R94&gt;=60,"Recomendada",IF(R94&gt;=40,"Condicional","Lista de espera"))))</f>
      </c>
      <c r="T94" s="18"/>
      <c r="U94" s="14"/>
      <c r="V94" s="14"/>
    </row>
    <row r="95" ht="18" customHeight="1" spans="1:22" x14ac:dyDescent="0.25">
      <c r="A95" s="6">
        <v>93</v>
      </c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9">
        <f>=IF(I95="","",IFERROR(IFERROR(VLOOKUP(I95,Listas!$A$15:$B$20,2,0),0)+IFERROR(VLOOKUP(J95,Listas!$A$24:$B$29,2,0),0)+IFERROR(VLOOKUP(K95,Listas!$A$33:$B$37,2,0),0)+IFERROR(VLOOKUP(L95,Listas!$A$41:$B$44,2,0),0)+IFERROR(VLOOKUP(M95,Listas!$A$48:$B$50,2,0),0)+IFERROR(VLOOKUP(N95,Listas!$A$54:$B$56,2,0),0)+IFERROR(VLOOKUP(O95,Listas!$A$60:$B$62,2,0),0)+IFERROR(VLOOKUP(P95,Listas!$A$66:$B$69,2,0),0)+IFERROR(VLOOKUP(Q95,Listas!$A$73:$B$76,2,0),0),0))</f>
      </c>
      <c r="S95" s="10">
        <f>=IF(I95="","",IF(R95&gt;=80,"Prioritaria",IF(R95&gt;=60,"Recomendada",IF(R95&gt;=40,"Condicional","Lista de espera"))))</f>
      </c>
      <c r="T95" s="11"/>
      <c r="U95" s="8"/>
      <c r="V95" s="8"/>
    </row>
    <row r="96" ht="18" customHeight="1" spans="1:22" x14ac:dyDescent="0.25">
      <c r="A96" s="12">
        <v>94</v>
      </c>
      <c r="B96" s="13"/>
      <c r="C96" s="14"/>
      <c r="D96" s="14"/>
      <c r="E96" s="14"/>
      <c r="F96" s="14"/>
      <c r="G96" s="14"/>
      <c r="H96" s="14"/>
      <c r="I96" s="15"/>
      <c r="J96" s="15"/>
      <c r="K96" s="15"/>
      <c r="L96" s="15"/>
      <c r="M96" s="15"/>
      <c r="N96" s="15"/>
      <c r="O96" s="15"/>
      <c r="P96" s="15"/>
      <c r="Q96" s="15"/>
      <c r="R96" s="16">
        <f>=IF(I96="","",IFERROR(IFERROR(VLOOKUP(I96,Listas!$A$15:$B$20,2,0),0)+IFERROR(VLOOKUP(J96,Listas!$A$24:$B$29,2,0),0)+IFERROR(VLOOKUP(K96,Listas!$A$33:$B$37,2,0),0)+IFERROR(VLOOKUP(L96,Listas!$A$41:$B$44,2,0),0)+IFERROR(VLOOKUP(M96,Listas!$A$48:$B$50,2,0),0)+IFERROR(VLOOKUP(N96,Listas!$A$54:$B$56,2,0),0)+IFERROR(VLOOKUP(O96,Listas!$A$60:$B$62,2,0),0)+IFERROR(VLOOKUP(P96,Listas!$A$66:$B$69,2,0),0)+IFERROR(VLOOKUP(Q96,Listas!$A$73:$B$76,2,0),0),0))</f>
      </c>
      <c r="S96" s="17">
        <f>=IF(I96="","",IF(R96&gt;=80,"Prioritaria",IF(R96&gt;=60,"Recomendada",IF(R96&gt;=40,"Condicional","Lista de espera"))))</f>
      </c>
      <c r="T96" s="18"/>
      <c r="U96" s="14"/>
      <c r="V96" s="14"/>
    </row>
    <row r="97" ht="18" customHeight="1" spans="1:22" x14ac:dyDescent="0.25">
      <c r="A97" s="6">
        <v>95</v>
      </c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9">
        <f>=IF(I97="","",IFERROR(IFERROR(VLOOKUP(I97,Listas!$A$15:$B$20,2,0),0)+IFERROR(VLOOKUP(J97,Listas!$A$24:$B$29,2,0),0)+IFERROR(VLOOKUP(K97,Listas!$A$33:$B$37,2,0),0)+IFERROR(VLOOKUP(L97,Listas!$A$41:$B$44,2,0),0)+IFERROR(VLOOKUP(M97,Listas!$A$48:$B$50,2,0),0)+IFERROR(VLOOKUP(N97,Listas!$A$54:$B$56,2,0),0)+IFERROR(VLOOKUP(O97,Listas!$A$60:$B$62,2,0),0)+IFERROR(VLOOKUP(P97,Listas!$A$66:$B$69,2,0),0)+IFERROR(VLOOKUP(Q97,Listas!$A$73:$B$76,2,0),0),0))</f>
      </c>
      <c r="S97" s="10">
        <f>=IF(I97="","",IF(R97&gt;=80,"Prioritaria",IF(R97&gt;=60,"Recomendada",IF(R97&gt;=40,"Condicional","Lista de espera"))))</f>
      </c>
      <c r="T97" s="11"/>
      <c r="U97" s="8"/>
      <c r="V97" s="8"/>
    </row>
    <row r="98" ht="18" customHeight="1" spans="1:22" x14ac:dyDescent="0.25">
      <c r="A98" s="12">
        <v>96</v>
      </c>
      <c r="B98" s="13"/>
      <c r="C98" s="14"/>
      <c r="D98" s="14"/>
      <c r="E98" s="14"/>
      <c r="F98" s="14"/>
      <c r="G98" s="14"/>
      <c r="H98" s="14"/>
      <c r="I98" s="15"/>
      <c r="J98" s="15"/>
      <c r="K98" s="15"/>
      <c r="L98" s="15"/>
      <c r="M98" s="15"/>
      <c r="N98" s="15"/>
      <c r="O98" s="15"/>
      <c r="P98" s="15"/>
      <c r="Q98" s="15"/>
      <c r="R98" s="16">
        <f>=IF(I98="","",IFERROR(IFERROR(VLOOKUP(I98,Listas!$A$15:$B$20,2,0),0)+IFERROR(VLOOKUP(J98,Listas!$A$24:$B$29,2,0),0)+IFERROR(VLOOKUP(K98,Listas!$A$33:$B$37,2,0),0)+IFERROR(VLOOKUP(L98,Listas!$A$41:$B$44,2,0),0)+IFERROR(VLOOKUP(M98,Listas!$A$48:$B$50,2,0),0)+IFERROR(VLOOKUP(N98,Listas!$A$54:$B$56,2,0),0)+IFERROR(VLOOKUP(O98,Listas!$A$60:$B$62,2,0),0)+IFERROR(VLOOKUP(P98,Listas!$A$66:$B$69,2,0),0)+IFERROR(VLOOKUP(Q98,Listas!$A$73:$B$76,2,0),0),0))</f>
      </c>
      <c r="S98" s="17">
        <f>=IF(I98="","",IF(R98&gt;=80,"Prioritaria",IF(R98&gt;=60,"Recomendada",IF(R98&gt;=40,"Condicional","Lista de espera"))))</f>
      </c>
      <c r="T98" s="18"/>
      <c r="U98" s="14"/>
      <c r="V98" s="14"/>
    </row>
    <row r="99" ht="18" customHeight="1" spans="1:22" x14ac:dyDescent="0.25">
      <c r="A99" s="6">
        <v>97</v>
      </c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9">
        <f>=IF(I99="","",IFERROR(IFERROR(VLOOKUP(I99,Listas!$A$15:$B$20,2,0),0)+IFERROR(VLOOKUP(J99,Listas!$A$24:$B$29,2,0),0)+IFERROR(VLOOKUP(K99,Listas!$A$33:$B$37,2,0),0)+IFERROR(VLOOKUP(L99,Listas!$A$41:$B$44,2,0),0)+IFERROR(VLOOKUP(M99,Listas!$A$48:$B$50,2,0),0)+IFERROR(VLOOKUP(N99,Listas!$A$54:$B$56,2,0),0)+IFERROR(VLOOKUP(O99,Listas!$A$60:$B$62,2,0),0)+IFERROR(VLOOKUP(P99,Listas!$A$66:$B$69,2,0),0)+IFERROR(VLOOKUP(Q99,Listas!$A$73:$B$76,2,0),0),0))</f>
      </c>
      <c r="S99" s="10">
        <f>=IF(I99="","",IF(R99&gt;=80,"Prioritaria",IF(R99&gt;=60,"Recomendada",IF(R99&gt;=40,"Condicional","Lista de espera"))))</f>
      </c>
      <c r="T99" s="11"/>
      <c r="U99" s="8"/>
      <c r="V99" s="8"/>
    </row>
    <row r="100" ht="18" customHeight="1" spans="1:22" x14ac:dyDescent="0.25">
      <c r="A100" s="12">
        <v>98</v>
      </c>
      <c r="B100" s="13"/>
      <c r="C100" s="14"/>
      <c r="D100" s="14"/>
      <c r="E100" s="14"/>
      <c r="F100" s="14"/>
      <c r="G100" s="14"/>
      <c r="H100" s="14"/>
      <c r="I100" s="15"/>
      <c r="J100" s="15"/>
      <c r="K100" s="15"/>
      <c r="L100" s="15"/>
      <c r="M100" s="15"/>
      <c r="N100" s="15"/>
      <c r="O100" s="15"/>
      <c r="P100" s="15"/>
      <c r="Q100" s="15"/>
      <c r="R100" s="16">
        <f>=IF(I100="","",IFERROR(IFERROR(VLOOKUP(I100,Listas!$A$15:$B$20,2,0),0)+IFERROR(VLOOKUP(J100,Listas!$A$24:$B$29,2,0),0)+IFERROR(VLOOKUP(K100,Listas!$A$33:$B$37,2,0),0)+IFERROR(VLOOKUP(L100,Listas!$A$41:$B$44,2,0),0)+IFERROR(VLOOKUP(M100,Listas!$A$48:$B$50,2,0),0)+IFERROR(VLOOKUP(N100,Listas!$A$54:$B$56,2,0),0)+IFERROR(VLOOKUP(O100,Listas!$A$60:$B$62,2,0),0)+IFERROR(VLOOKUP(P100,Listas!$A$66:$B$69,2,0),0)+IFERROR(VLOOKUP(Q100,Listas!$A$73:$B$76,2,0),0),0))</f>
      </c>
      <c r="S100" s="17">
        <f>=IF(I100="","",IF(R100&gt;=80,"Prioritaria",IF(R100&gt;=60,"Recomendada",IF(R100&gt;=40,"Condicional","Lista de espera"))))</f>
      </c>
      <c r="T100" s="18"/>
      <c r="U100" s="14"/>
      <c r="V100" s="14"/>
    </row>
    <row r="101" ht="18" customHeight="1" spans="1:22" x14ac:dyDescent="0.25">
      <c r="A101" s="6">
        <v>99</v>
      </c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9">
        <f>=IF(I101="","",IFERROR(IFERROR(VLOOKUP(I101,Listas!$A$15:$B$20,2,0),0)+IFERROR(VLOOKUP(J101,Listas!$A$24:$B$29,2,0),0)+IFERROR(VLOOKUP(K101,Listas!$A$33:$B$37,2,0),0)+IFERROR(VLOOKUP(L101,Listas!$A$41:$B$44,2,0),0)+IFERROR(VLOOKUP(M101,Listas!$A$48:$B$50,2,0),0)+IFERROR(VLOOKUP(N101,Listas!$A$54:$B$56,2,0),0)+IFERROR(VLOOKUP(O101,Listas!$A$60:$B$62,2,0),0)+IFERROR(VLOOKUP(P101,Listas!$A$66:$B$69,2,0),0)+IFERROR(VLOOKUP(Q101,Listas!$A$73:$B$76,2,0),0),0))</f>
      </c>
      <c r="S101" s="10">
        <f>=IF(I101="","",IF(R101&gt;=80,"Prioritaria",IF(R101&gt;=60,"Recomendada",IF(R101&gt;=40,"Condicional","Lista de espera"))))</f>
      </c>
      <c r="T101" s="11"/>
      <c r="U101" s="8"/>
      <c r="V101" s="8"/>
    </row>
    <row r="102" ht="18" customHeight="1" spans="1:22" x14ac:dyDescent="0.25">
      <c r="A102" s="12">
        <v>100</v>
      </c>
      <c r="B102" s="13"/>
      <c r="C102" s="14"/>
      <c r="D102" s="14"/>
      <c r="E102" s="14"/>
      <c r="F102" s="14"/>
      <c r="G102" s="14"/>
      <c r="H102" s="14"/>
      <c r="I102" s="15"/>
      <c r="J102" s="15"/>
      <c r="K102" s="15"/>
      <c r="L102" s="15"/>
      <c r="M102" s="15"/>
      <c r="N102" s="15"/>
      <c r="O102" s="15"/>
      <c r="P102" s="15"/>
      <c r="Q102" s="15"/>
      <c r="R102" s="16">
        <f>=IF(I102="","",IFERROR(IFERROR(VLOOKUP(I102,Listas!$A$15:$B$20,2,0),0)+IFERROR(VLOOKUP(J102,Listas!$A$24:$B$29,2,0),0)+IFERROR(VLOOKUP(K102,Listas!$A$33:$B$37,2,0),0)+IFERROR(VLOOKUP(L102,Listas!$A$41:$B$44,2,0),0)+IFERROR(VLOOKUP(M102,Listas!$A$48:$B$50,2,0),0)+IFERROR(VLOOKUP(N102,Listas!$A$54:$B$56,2,0),0)+IFERROR(VLOOKUP(O102,Listas!$A$60:$B$62,2,0),0)+IFERROR(VLOOKUP(P102,Listas!$A$66:$B$69,2,0),0)+IFERROR(VLOOKUP(Q102,Listas!$A$73:$B$76,2,0),0),0))</f>
      </c>
      <c r="S102" s="17">
        <f>=IF(I102="","",IF(R102&gt;=80,"Prioritaria",IF(R102&gt;=60,"Recomendada",IF(R102&gt;=40,"Condicional","Lista de espera"))))</f>
      </c>
      <c r="T102" s="18"/>
      <c r="U102" s="14"/>
      <c r="V102" s="14"/>
    </row>
    <row r="103" ht="18" customHeight="1" spans="1:22" x14ac:dyDescent="0.25">
      <c r="A103" s="6">
        <v>101</v>
      </c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9">
        <f>=IF(I103="","",IFERROR(IFERROR(VLOOKUP(I103,Listas!$A$15:$B$20,2,0),0)+IFERROR(VLOOKUP(J103,Listas!$A$24:$B$29,2,0),0)+IFERROR(VLOOKUP(K103,Listas!$A$33:$B$37,2,0),0)+IFERROR(VLOOKUP(L103,Listas!$A$41:$B$44,2,0),0)+IFERROR(VLOOKUP(M103,Listas!$A$48:$B$50,2,0),0)+IFERROR(VLOOKUP(N103,Listas!$A$54:$B$56,2,0),0)+IFERROR(VLOOKUP(O103,Listas!$A$60:$B$62,2,0),0)+IFERROR(VLOOKUP(P103,Listas!$A$66:$B$69,2,0),0)+IFERROR(VLOOKUP(Q103,Listas!$A$73:$B$76,2,0),0),0))</f>
      </c>
      <c r="S103" s="10">
        <f>=IF(I103="","",IF(R103&gt;=80,"Prioritaria",IF(R103&gt;=60,"Recomendada",IF(R103&gt;=40,"Condicional","Lista de espera"))))</f>
      </c>
      <c r="T103" s="11"/>
      <c r="U103" s="8"/>
      <c r="V103" s="8"/>
    </row>
    <row r="104" ht="18" customHeight="1" spans="1:22" x14ac:dyDescent="0.25">
      <c r="A104" s="12">
        <v>102</v>
      </c>
      <c r="B104" s="13"/>
      <c r="C104" s="14"/>
      <c r="D104" s="14"/>
      <c r="E104" s="14"/>
      <c r="F104" s="14"/>
      <c r="G104" s="14"/>
      <c r="H104" s="14"/>
      <c r="I104" s="15"/>
      <c r="J104" s="15"/>
      <c r="K104" s="15"/>
      <c r="L104" s="15"/>
      <c r="M104" s="15"/>
      <c r="N104" s="15"/>
      <c r="O104" s="15"/>
      <c r="P104" s="15"/>
      <c r="Q104" s="15"/>
      <c r="R104" s="16">
        <f>=IF(I104="","",IFERROR(IFERROR(VLOOKUP(I104,Listas!$A$15:$B$20,2,0),0)+IFERROR(VLOOKUP(J104,Listas!$A$24:$B$29,2,0),0)+IFERROR(VLOOKUP(K104,Listas!$A$33:$B$37,2,0),0)+IFERROR(VLOOKUP(L104,Listas!$A$41:$B$44,2,0),0)+IFERROR(VLOOKUP(M104,Listas!$A$48:$B$50,2,0),0)+IFERROR(VLOOKUP(N104,Listas!$A$54:$B$56,2,0),0)+IFERROR(VLOOKUP(O104,Listas!$A$60:$B$62,2,0),0)+IFERROR(VLOOKUP(P104,Listas!$A$66:$B$69,2,0),0)+IFERROR(VLOOKUP(Q104,Listas!$A$73:$B$76,2,0),0),0))</f>
      </c>
      <c r="S104" s="17">
        <f>=IF(I104="","",IF(R104&gt;=80,"Prioritaria",IF(R104&gt;=60,"Recomendada",IF(R104&gt;=40,"Condicional","Lista de espera"))))</f>
      </c>
      <c r="T104" s="18"/>
      <c r="U104" s="14"/>
      <c r="V104" s="14"/>
    </row>
    <row r="105" ht="18" customHeight="1" spans="1:22" x14ac:dyDescent="0.25">
      <c r="A105" s="6">
        <v>103</v>
      </c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9">
        <f>=IF(I105="","",IFERROR(IFERROR(VLOOKUP(I105,Listas!$A$15:$B$20,2,0),0)+IFERROR(VLOOKUP(J105,Listas!$A$24:$B$29,2,0),0)+IFERROR(VLOOKUP(K105,Listas!$A$33:$B$37,2,0),0)+IFERROR(VLOOKUP(L105,Listas!$A$41:$B$44,2,0),0)+IFERROR(VLOOKUP(M105,Listas!$A$48:$B$50,2,0),0)+IFERROR(VLOOKUP(N105,Listas!$A$54:$B$56,2,0),0)+IFERROR(VLOOKUP(O105,Listas!$A$60:$B$62,2,0),0)+IFERROR(VLOOKUP(P105,Listas!$A$66:$B$69,2,0),0)+IFERROR(VLOOKUP(Q105,Listas!$A$73:$B$76,2,0),0),0))</f>
      </c>
      <c r="S105" s="10">
        <f>=IF(I105="","",IF(R105&gt;=80,"Prioritaria",IF(R105&gt;=60,"Recomendada",IF(R105&gt;=40,"Condicional","Lista de espera"))))</f>
      </c>
      <c r="T105" s="11"/>
      <c r="U105" s="8"/>
      <c r="V105" s="8"/>
    </row>
    <row r="106" ht="18" customHeight="1" spans="1:22" x14ac:dyDescent="0.25">
      <c r="A106" s="12">
        <v>104</v>
      </c>
      <c r="B106" s="13"/>
      <c r="C106" s="14"/>
      <c r="D106" s="14"/>
      <c r="E106" s="14"/>
      <c r="F106" s="14"/>
      <c r="G106" s="14"/>
      <c r="H106" s="14"/>
      <c r="I106" s="15"/>
      <c r="J106" s="15"/>
      <c r="K106" s="15"/>
      <c r="L106" s="15"/>
      <c r="M106" s="15"/>
      <c r="N106" s="15"/>
      <c r="O106" s="15"/>
      <c r="P106" s="15"/>
      <c r="Q106" s="15"/>
      <c r="R106" s="16">
        <f>=IF(I106="","",IFERROR(IFERROR(VLOOKUP(I106,Listas!$A$15:$B$20,2,0),0)+IFERROR(VLOOKUP(J106,Listas!$A$24:$B$29,2,0),0)+IFERROR(VLOOKUP(K106,Listas!$A$33:$B$37,2,0),0)+IFERROR(VLOOKUP(L106,Listas!$A$41:$B$44,2,0),0)+IFERROR(VLOOKUP(M106,Listas!$A$48:$B$50,2,0),0)+IFERROR(VLOOKUP(N106,Listas!$A$54:$B$56,2,0),0)+IFERROR(VLOOKUP(O106,Listas!$A$60:$B$62,2,0),0)+IFERROR(VLOOKUP(P106,Listas!$A$66:$B$69,2,0),0)+IFERROR(VLOOKUP(Q106,Listas!$A$73:$B$76,2,0),0),0))</f>
      </c>
      <c r="S106" s="17">
        <f>=IF(I106="","",IF(R106&gt;=80,"Prioritaria",IF(R106&gt;=60,"Recomendada",IF(R106&gt;=40,"Condicional","Lista de espera"))))</f>
      </c>
      <c r="T106" s="18"/>
      <c r="U106" s="14"/>
      <c r="V106" s="14"/>
    </row>
    <row r="107" ht="18" customHeight="1" spans="1:22" x14ac:dyDescent="0.25">
      <c r="A107" s="6">
        <v>105</v>
      </c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9">
        <f>=IF(I107="","",IFERROR(IFERROR(VLOOKUP(I107,Listas!$A$15:$B$20,2,0),0)+IFERROR(VLOOKUP(J107,Listas!$A$24:$B$29,2,0),0)+IFERROR(VLOOKUP(K107,Listas!$A$33:$B$37,2,0),0)+IFERROR(VLOOKUP(L107,Listas!$A$41:$B$44,2,0),0)+IFERROR(VLOOKUP(M107,Listas!$A$48:$B$50,2,0),0)+IFERROR(VLOOKUP(N107,Listas!$A$54:$B$56,2,0),0)+IFERROR(VLOOKUP(O107,Listas!$A$60:$B$62,2,0),0)+IFERROR(VLOOKUP(P107,Listas!$A$66:$B$69,2,0),0)+IFERROR(VLOOKUP(Q107,Listas!$A$73:$B$76,2,0),0),0))</f>
      </c>
      <c r="S107" s="10">
        <f>=IF(I107="","",IF(R107&gt;=80,"Prioritaria",IF(R107&gt;=60,"Recomendada",IF(R107&gt;=40,"Condicional","Lista de espera"))))</f>
      </c>
      <c r="T107" s="11"/>
      <c r="U107" s="8"/>
      <c r="V107" s="8"/>
    </row>
    <row r="108" ht="18" customHeight="1" spans="1:22" x14ac:dyDescent="0.25">
      <c r="A108" s="12">
        <v>106</v>
      </c>
      <c r="B108" s="13"/>
      <c r="C108" s="14"/>
      <c r="D108" s="14"/>
      <c r="E108" s="14"/>
      <c r="F108" s="14"/>
      <c r="G108" s="14"/>
      <c r="H108" s="14"/>
      <c r="I108" s="15"/>
      <c r="J108" s="15"/>
      <c r="K108" s="15"/>
      <c r="L108" s="15"/>
      <c r="M108" s="15"/>
      <c r="N108" s="15"/>
      <c r="O108" s="15"/>
      <c r="P108" s="15"/>
      <c r="Q108" s="15"/>
      <c r="R108" s="16">
        <f>=IF(I108="","",IFERROR(IFERROR(VLOOKUP(I108,Listas!$A$15:$B$20,2,0),0)+IFERROR(VLOOKUP(J108,Listas!$A$24:$B$29,2,0),0)+IFERROR(VLOOKUP(K108,Listas!$A$33:$B$37,2,0),0)+IFERROR(VLOOKUP(L108,Listas!$A$41:$B$44,2,0),0)+IFERROR(VLOOKUP(M108,Listas!$A$48:$B$50,2,0),0)+IFERROR(VLOOKUP(N108,Listas!$A$54:$B$56,2,0),0)+IFERROR(VLOOKUP(O108,Listas!$A$60:$B$62,2,0),0)+IFERROR(VLOOKUP(P108,Listas!$A$66:$B$69,2,0),0)+IFERROR(VLOOKUP(Q108,Listas!$A$73:$B$76,2,0),0),0))</f>
      </c>
      <c r="S108" s="17">
        <f>=IF(I108="","",IF(R108&gt;=80,"Prioritaria",IF(R108&gt;=60,"Recomendada",IF(R108&gt;=40,"Condicional","Lista de espera"))))</f>
      </c>
      <c r="T108" s="18"/>
      <c r="U108" s="14"/>
      <c r="V108" s="14"/>
    </row>
    <row r="109" ht="18" customHeight="1" spans="1:22" x14ac:dyDescent="0.25">
      <c r="A109" s="6">
        <v>107</v>
      </c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9">
        <f>=IF(I109="","",IFERROR(IFERROR(VLOOKUP(I109,Listas!$A$15:$B$20,2,0),0)+IFERROR(VLOOKUP(J109,Listas!$A$24:$B$29,2,0),0)+IFERROR(VLOOKUP(K109,Listas!$A$33:$B$37,2,0),0)+IFERROR(VLOOKUP(L109,Listas!$A$41:$B$44,2,0),0)+IFERROR(VLOOKUP(M109,Listas!$A$48:$B$50,2,0),0)+IFERROR(VLOOKUP(N109,Listas!$A$54:$B$56,2,0),0)+IFERROR(VLOOKUP(O109,Listas!$A$60:$B$62,2,0),0)+IFERROR(VLOOKUP(P109,Listas!$A$66:$B$69,2,0),0)+IFERROR(VLOOKUP(Q109,Listas!$A$73:$B$76,2,0),0),0))</f>
      </c>
      <c r="S109" s="10">
        <f>=IF(I109="","",IF(R109&gt;=80,"Prioritaria",IF(R109&gt;=60,"Recomendada",IF(R109&gt;=40,"Condicional","Lista de espera"))))</f>
      </c>
      <c r="T109" s="11"/>
      <c r="U109" s="8"/>
      <c r="V109" s="8"/>
    </row>
    <row r="110" ht="18" customHeight="1" spans="1:22" x14ac:dyDescent="0.25">
      <c r="A110" s="12">
        <v>108</v>
      </c>
      <c r="B110" s="13"/>
      <c r="C110" s="14"/>
      <c r="D110" s="14"/>
      <c r="E110" s="14"/>
      <c r="F110" s="14"/>
      <c r="G110" s="14"/>
      <c r="H110" s="14"/>
      <c r="I110" s="15"/>
      <c r="J110" s="15"/>
      <c r="K110" s="15"/>
      <c r="L110" s="15"/>
      <c r="M110" s="15"/>
      <c r="N110" s="15"/>
      <c r="O110" s="15"/>
      <c r="P110" s="15"/>
      <c r="Q110" s="15"/>
      <c r="R110" s="16">
        <f>=IF(I110="","",IFERROR(IFERROR(VLOOKUP(I110,Listas!$A$15:$B$20,2,0),0)+IFERROR(VLOOKUP(J110,Listas!$A$24:$B$29,2,0),0)+IFERROR(VLOOKUP(K110,Listas!$A$33:$B$37,2,0),0)+IFERROR(VLOOKUP(L110,Listas!$A$41:$B$44,2,0),0)+IFERROR(VLOOKUP(M110,Listas!$A$48:$B$50,2,0),0)+IFERROR(VLOOKUP(N110,Listas!$A$54:$B$56,2,0),0)+IFERROR(VLOOKUP(O110,Listas!$A$60:$B$62,2,0),0)+IFERROR(VLOOKUP(P110,Listas!$A$66:$B$69,2,0),0)+IFERROR(VLOOKUP(Q110,Listas!$A$73:$B$76,2,0),0),0))</f>
      </c>
      <c r="S110" s="17">
        <f>=IF(I110="","",IF(R110&gt;=80,"Prioritaria",IF(R110&gt;=60,"Recomendada",IF(R110&gt;=40,"Condicional","Lista de espera"))))</f>
      </c>
      <c r="T110" s="18"/>
      <c r="U110" s="14"/>
      <c r="V110" s="14"/>
    </row>
    <row r="111" ht="18" customHeight="1" spans="1:22" x14ac:dyDescent="0.25">
      <c r="A111" s="6">
        <v>109</v>
      </c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9">
        <f>=IF(I111="","",IFERROR(IFERROR(VLOOKUP(I111,Listas!$A$15:$B$20,2,0),0)+IFERROR(VLOOKUP(J111,Listas!$A$24:$B$29,2,0),0)+IFERROR(VLOOKUP(K111,Listas!$A$33:$B$37,2,0),0)+IFERROR(VLOOKUP(L111,Listas!$A$41:$B$44,2,0),0)+IFERROR(VLOOKUP(M111,Listas!$A$48:$B$50,2,0),0)+IFERROR(VLOOKUP(N111,Listas!$A$54:$B$56,2,0),0)+IFERROR(VLOOKUP(O111,Listas!$A$60:$B$62,2,0),0)+IFERROR(VLOOKUP(P111,Listas!$A$66:$B$69,2,0),0)+IFERROR(VLOOKUP(Q111,Listas!$A$73:$B$76,2,0),0),0))</f>
      </c>
      <c r="S111" s="10">
        <f>=IF(I111="","",IF(R111&gt;=80,"Prioritaria",IF(R111&gt;=60,"Recomendada",IF(R111&gt;=40,"Condicional","Lista de espera"))))</f>
      </c>
      <c r="T111" s="11"/>
      <c r="U111" s="8"/>
      <c r="V111" s="8"/>
    </row>
    <row r="112" ht="18" customHeight="1" spans="1:22" x14ac:dyDescent="0.25">
      <c r="A112" s="12">
        <v>110</v>
      </c>
      <c r="B112" s="13"/>
      <c r="C112" s="14"/>
      <c r="D112" s="14"/>
      <c r="E112" s="14"/>
      <c r="F112" s="14"/>
      <c r="G112" s="14"/>
      <c r="H112" s="14"/>
      <c r="I112" s="15"/>
      <c r="J112" s="15"/>
      <c r="K112" s="15"/>
      <c r="L112" s="15"/>
      <c r="M112" s="15"/>
      <c r="N112" s="15"/>
      <c r="O112" s="15"/>
      <c r="P112" s="15"/>
      <c r="Q112" s="15"/>
      <c r="R112" s="16">
        <f>=IF(I112="","",IFERROR(IFERROR(VLOOKUP(I112,Listas!$A$15:$B$20,2,0),0)+IFERROR(VLOOKUP(J112,Listas!$A$24:$B$29,2,0),0)+IFERROR(VLOOKUP(K112,Listas!$A$33:$B$37,2,0),0)+IFERROR(VLOOKUP(L112,Listas!$A$41:$B$44,2,0),0)+IFERROR(VLOOKUP(M112,Listas!$A$48:$B$50,2,0),0)+IFERROR(VLOOKUP(N112,Listas!$A$54:$B$56,2,0),0)+IFERROR(VLOOKUP(O112,Listas!$A$60:$B$62,2,0),0)+IFERROR(VLOOKUP(P112,Listas!$A$66:$B$69,2,0),0)+IFERROR(VLOOKUP(Q112,Listas!$A$73:$B$76,2,0),0),0))</f>
      </c>
      <c r="S112" s="17">
        <f>=IF(I112="","",IF(R112&gt;=80,"Prioritaria",IF(R112&gt;=60,"Recomendada",IF(R112&gt;=40,"Condicional","Lista de espera"))))</f>
      </c>
      <c r="T112" s="18"/>
      <c r="U112" s="14"/>
      <c r="V112" s="14"/>
    </row>
    <row r="113" ht="18" customHeight="1" spans="1:22" x14ac:dyDescent="0.25">
      <c r="A113" s="6">
        <v>111</v>
      </c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9">
        <f>=IF(I113="","",IFERROR(IFERROR(VLOOKUP(I113,Listas!$A$15:$B$20,2,0),0)+IFERROR(VLOOKUP(J113,Listas!$A$24:$B$29,2,0),0)+IFERROR(VLOOKUP(K113,Listas!$A$33:$B$37,2,0),0)+IFERROR(VLOOKUP(L113,Listas!$A$41:$B$44,2,0),0)+IFERROR(VLOOKUP(M113,Listas!$A$48:$B$50,2,0),0)+IFERROR(VLOOKUP(N113,Listas!$A$54:$B$56,2,0),0)+IFERROR(VLOOKUP(O113,Listas!$A$60:$B$62,2,0),0)+IFERROR(VLOOKUP(P113,Listas!$A$66:$B$69,2,0),0)+IFERROR(VLOOKUP(Q113,Listas!$A$73:$B$76,2,0),0),0))</f>
      </c>
      <c r="S113" s="10">
        <f>=IF(I113="","",IF(R113&gt;=80,"Prioritaria",IF(R113&gt;=60,"Recomendada",IF(R113&gt;=40,"Condicional","Lista de espera"))))</f>
      </c>
      <c r="T113" s="11"/>
      <c r="U113" s="8"/>
      <c r="V113" s="8"/>
    </row>
    <row r="114" ht="18" customHeight="1" spans="1:22" x14ac:dyDescent="0.25">
      <c r="A114" s="12">
        <v>112</v>
      </c>
      <c r="B114" s="13"/>
      <c r="C114" s="14"/>
      <c r="D114" s="14"/>
      <c r="E114" s="14"/>
      <c r="F114" s="14"/>
      <c r="G114" s="14"/>
      <c r="H114" s="14"/>
      <c r="I114" s="15"/>
      <c r="J114" s="15"/>
      <c r="K114" s="15"/>
      <c r="L114" s="15"/>
      <c r="M114" s="15"/>
      <c r="N114" s="15"/>
      <c r="O114" s="15"/>
      <c r="P114" s="15"/>
      <c r="Q114" s="15"/>
      <c r="R114" s="16">
        <f>=IF(I114="","",IFERROR(IFERROR(VLOOKUP(I114,Listas!$A$15:$B$20,2,0),0)+IFERROR(VLOOKUP(J114,Listas!$A$24:$B$29,2,0),0)+IFERROR(VLOOKUP(K114,Listas!$A$33:$B$37,2,0),0)+IFERROR(VLOOKUP(L114,Listas!$A$41:$B$44,2,0),0)+IFERROR(VLOOKUP(M114,Listas!$A$48:$B$50,2,0),0)+IFERROR(VLOOKUP(N114,Listas!$A$54:$B$56,2,0),0)+IFERROR(VLOOKUP(O114,Listas!$A$60:$B$62,2,0),0)+IFERROR(VLOOKUP(P114,Listas!$A$66:$B$69,2,0),0)+IFERROR(VLOOKUP(Q114,Listas!$A$73:$B$76,2,0),0),0))</f>
      </c>
      <c r="S114" s="17">
        <f>=IF(I114="","",IF(R114&gt;=80,"Prioritaria",IF(R114&gt;=60,"Recomendada",IF(R114&gt;=40,"Condicional","Lista de espera"))))</f>
      </c>
      <c r="T114" s="18"/>
      <c r="U114" s="14"/>
      <c r="V114" s="14"/>
    </row>
    <row r="115" ht="18" customHeight="1" spans="1:22" x14ac:dyDescent="0.25">
      <c r="A115" s="6">
        <v>113</v>
      </c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9">
        <f>=IF(I115="","",IFERROR(IFERROR(VLOOKUP(I115,Listas!$A$15:$B$20,2,0),0)+IFERROR(VLOOKUP(J115,Listas!$A$24:$B$29,2,0),0)+IFERROR(VLOOKUP(K115,Listas!$A$33:$B$37,2,0),0)+IFERROR(VLOOKUP(L115,Listas!$A$41:$B$44,2,0),0)+IFERROR(VLOOKUP(M115,Listas!$A$48:$B$50,2,0),0)+IFERROR(VLOOKUP(N115,Listas!$A$54:$B$56,2,0),0)+IFERROR(VLOOKUP(O115,Listas!$A$60:$B$62,2,0),0)+IFERROR(VLOOKUP(P115,Listas!$A$66:$B$69,2,0),0)+IFERROR(VLOOKUP(Q115,Listas!$A$73:$B$76,2,0),0),0))</f>
      </c>
      <c r="S115" s="10">
        <f>=IF(I115="","",IF(R115&gt;=80,"Prioritaria",IF(R115&gt;=60,"Recomendada",IF(R115&gt;=40,"Condicional","Lista de espera"))))</f>
      </c>
      <c r="T115" s="11"/>
      <c r="U115" s="8"/>
      <c r="V115" s="8"/>
    </row>
    <row r="116" ht="18" customHeight="1" spans="1:22" x14ac:dyDescent="0.25">
      <c r="A116" s="12">
        <v>114</v>
      </c>
      <c r="B116" s="13"/>
      <c r="C116" s="14"/>
      <c r="D116" s="14"/>
      <c r="E116" s="14"/>
      <c r="F116" s="14"/>
      <c r="G116" s="14"/>
      <c r="H116" s="14"/>
      <c r="I116" s="15"/>
      <c r="J116" s="15"/>
      <c r="K116" s="15"/>
      <c r="L116" s="15"/>
      <c r="M116" s="15"/>
      <c r="N116" s="15"/>
      <c r="O116" s="15"/>
      <c r="P116" s="15"/>
      <c r="Q116" s="15"/>
      <c r="R116" s="16">
        <f>=IF(I116="","",IFERROR(IFERROR(VLOOKUP(I116,Listas!$A$15:$B$20,2,0),0)+IFERROR(VLOOKUP(J116,Listas!$A$24:$B$29,2,0),0)+IFERROR(VLOOKUP(K116,Listas!$A$33:$B$37,2,0),0)+IFERROR(VLOOKUP(L116,Listas!$A$41:$B$44,2,0),0)+IFERROR(VLOOKUP(M116,Listas!$A$48:$B$50,2,0),0)+IFERROR(VLOOKUP(N116,Listas!$A$54:$B$56,2,0),0)+IFERROR(VLOOKUP(O116,Listas!$A$60:$B$62,2,0),0)+IFERROR(VLOOKUP(P116,Listas!$A$66:$B$69,2,0),0)+IFERROR(VLOOKUP(Q116,Listas!$A$73:$B$76,2,0),0),0))</f>
      </c>
      <c r="S116" s="17">
        <f>=IF(I116="","",IF(R116&gt;=80,"Prioritaria",IF(R116&gt;=60,"Recomendada",IF(R116&gt;=40,"Condicional","Lista de espera"))))</f>
      </c>
      <c r="T116" s="18"/>
      <c r="U116" s="14"/>
      <c r="V116" s="14"/>
    </row>
    <row r="117" ht="18" customHeight="1" spans="1:22" x14ac:dyDescent="0.25">
      <c r="A117" s="6">
        <v>115</v>
      </c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9">
        <f>=IF(I117="","",IFERROR(IFERROR(VLOOKUP(I117,Listas!$A$15:$B$20,2,0),0)+IFERROR(VLOOKUP(J117,Listas!$A$24:$B$29,2,0),0)+IFERROR(VLOOKUP(K117,Listas!$A$33:$B$37,2,0),0)+IFERROR(VLOOKUP(L117,Listas!$A$41:$B$44,2,0),0)+IFERROR(VLOOKUP(M117,Listas!$A$48:$B$50,2,0),0)+IFERROR(VLOOKUP(N117,Listas!$A$54:$B$56,2,0),0)+IFERROR(VLOOKUP(O117,Listas!$A$60:$B$62,2,0),0)+IFERROR(VLOOKUP(P117,Listas!$A$66:$B$69,2,0),0)+IFERROR(VLOOKUP(Q117,Listas!$A$73:$B$76,2,0),0),0))</f>
      </c>
      <c r="S117" s="10">
        <f>=IF(I117="","",IF(R117&gt;=80,"Prioritaria",IF(R117&gt;=60,"Recomendada",IF(R117&gt;=40,"Condicional","Lista de espera"))))</f>
      </c>
      <c r="T117" s="11"/>
      <c r="U117" s="8"/>
      <c r="V117" s="8"/>
    </row>
    <row r="118" ht="18" customHeight="1" spans="1:22" x14ac:dyDescent="0.25">
      <c r="A118" s="12">
        <v>116</v>
      </c>
      <c r="B118" s="13"/>
      <c r="C118" s="14"/>
      <c r="D118" s="14"/>
      <c r="E118" s="14"/>
      <c r="F118" s="14"/>
      <c r="G118" s="14"/>
      <c r="H118" s="14"/>
      <c r="I118" s="15"/>
      <c r="J118" s="15"/>
      <c r="K118" s="15"/>
      <c r="L118" s="15"/>
      <c r="M118" s="15"/>
      <c r="N118" s="15"/>
      <c r="O118" s="15"/>
      <c r="P118" s="15"/>
      <c r="Q118" s="15"/>
      <c r="R118" s="16">
        <f>=IF(I118="","",IFERROR(IFERROR(VLOOKUP(I118,Listas!$A$15:$B$20,2,0),0)+IFERROR(VLOOKUP(J118,Listas!$A$24:$B$29,2,0),0)+IFERROR(VLOOKUP(K118,Listas!$A$33:$B$37,2,0),0)+IFERROR(VLOOKUP(L118,Listas!$A$41:$B$44,2,0),0)+IFERROR(VLOOKUP(M118,Listas!$A$48:$B$50,2,0),0)+IFERROR(VLOOKUP(N118,Listas!$A$54:$B$56,2,0),0)+IFERROR(VLOOKUP(O118,Listas!$A$60:$B$62,2,0),0)+IFERROR(VLOOKUP(P118,Listas!$A$66:$B$69,2,0),0)+IFERROR(VLOOKUP(Q118,Listas!$A$73:$B$76,2,0),0),0))</f>
      </c>
      <c r="S118" s="17">
        <f>=IF(I118="","",IF(R118&gt;=80,"Prioritaria",IF(R118&gt;=60,"Recomendada",IF(R118&gt;=40,"Condicional","Lista de espera"))))</f>
      </c>
      <c r="T118" s="18"/>
      <c r="U118" s="14"/>
      <c r="V118" s="14"/>
    </row>
    <row r="119" ht="18" customHeight="1" spans="1:22" x14ac:dyDescent="0.25">
      <c r="A119" s="6">
        <v>117</v>
      </c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9">
        <f>=IF(I119="","",IFERROR(IFERROR(VLOOKUP(I119,Listas!$A$15:$B$20,2,0),0)+IFERROR(VLOOKUP(J119,Listas!$A$24:$B$29,2,0),0)+IFERROR(VLOOKUP(K119,Listas!$A$33:$B$37,2,0),0)+IFERROR(VLOOKUP(L119,Listas!$A$41:$B$44,2,0),0)+IFERROR(VLOOKUP(M119,Listas!$A$48:$B$50,2,0),0)+IFERROR(VLOOKUP(N119,Listas!$A$54:$B$56,2,0),0)+IFERROR(VLOOKUP(O119,Listas!$A$60:$B$62,2,0),0)+IFERROR(VLOOKUP(P119,Listas!$A$66:$B$69,2,0),0)+IFERROR(VLOOKUP(Q119,Listas!$A$73:$B$76,2,0),0),0))</f>
      </c>
      <c r="S119" s="10">
        <f>=IF(I119="","",IF(R119&gt;=80,"Prioritaria",IF(R119&gt;=60,"Recomendada",IF(R119&gt;=40,"Condicional","Lista de espera"))))</f>
      </c>
      <c r="T119" s="11"/>
      <c r="U119" s="8"/>
      <c r="V119" s="8"/>
    </row>
    <row r="120" ht="18" customHeight="1" spans="1:22" x14ac:dyDescent="0.25">
      <c r="A120" s="12">
        <v>118</v>
      </c>
      <c r="B120" s="13"/>
      <c r="C120" s="14"/>
      <c r="D120" s="14"/>
      <c r="E120" s="14"/>
      <c r="F120" s="14"/>
      <c r="G120" s="14"/>
      <c r="H120" s="14"/>
      <c r="I120" s="15"/>
      <c r="J120" s="15"/>
      <c r="K120" s="15"/>
      <c r="L120" s="15"/>
      <c r="M120" s="15"/>
      <c r="N120" s="15"/>
      <c r="O120" s="15"/>
      <c r="P120" s="15"/>
      <c r="Q120" s="15"/>
      <c r="R120" s="16">
        <f>=IF(I120="","",IFERROR(IFERROR(VLOOKUP(I120,Listas!$A$15:$B$20,2,0),0)+IFERROR(VLOOKUP(J120,Listas!$A$24:$B$29,2,0),0)+IFERROR(VLOOKUP(K120,Listas!$A$33:$B$37,2,0),0)+IFERROR(VLOOKUP(L120,Listas!$A$41:$B$44,2,0),0)+IFERROR(VLOOKUP(M120,Listas!$A$48:$B$50,2,0),0)+IFERROR(VLOOKUP(N120,Listas!$A$54:$B$56,2,0),0)+IFERROR(VLOOKUP(O120,Listas!$A$60:$B$62,2,0),0)+IFERROR(VLOOKUP(P120,Listas!$A$66:$B$69,2,0),0)+IFERROR(VLOOKUP(Q120,Listas!$A$73:$B$76,2,0),0),0))</f>
      </c>
      <c r="S120" s="17">
        <f>=IF(I120="","",IF(R120&gt;=80,"Prioritaria",IF(R120&gt;=60,"Recomendada",IF(R120&gt;=40,"Condicional","Lista de espera"))))</f>
      </c>
      <c r="T120" s="18"/>
      <c r="U120" s="14"/>
      <c r="V120" s="14"/>
    </row>
    <row r="121" ht="18" customHeight="1" spans="1:22" x14ac:dyDescent="0.25">
      <c r="A121" s="6">
        <v>119</v>
      </c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9">
        <f>=IF(I121="","",IFERROR(IFERROR(VLOOKUP(I121,Listas!$A$15:$B$20,2,0),0)+IFERROR(VLOOKUP(J121,Listas!$A$24:$B$29,2,0),0)+IFERROR(VLOOKUP(K121,Listas!$A$33:$B$37,2,0),0)+IFERROR(VLOOKUP(L121,Listas!$A$41:$B$44,2,0),0)+IFERROR(VLOOKUP(M121,Listas!$A$48:$B$50,2,0),0)+IFERROR(VLOOKUP(N121,Listas!$A$54:$B$56,2,0),0)+IFERROR(VLOOKUP(O121,Listas!$A$60:$B$62,2,0),0)+IFERROR(VLOOKUP(P121,Listas!$A$66:$B$69,2,0),0)+IFERROR(VLOOKUP(Q121,Listas!$A$73:$B$76,2,0),0),0))</f>
      </c>
      <c r="S121" s="10">
        <f>=IF(I121="","",IF(R121&gt;=80,"Prioritaria",IF(R121&gt;=60,"Recomendada",IF(R121&gt;=40,"Condicional","Lista de espera"))))</f>
      </c>
      <c r="T121" s="11"/>
      <c r="U121" s="8"/>
      <c r="V121" s="8"/>
    </row>
    <row r="122" ht="18" customHeight="1" spans="1:22" x14ac:dyDescent="0.25">
      <c r="A122" s="12">
        <v>120</v>
      </c>
      <c r="B122" s="13"/>
      <c r="C122" s="14"/>
      <c r="D122" s="14"/>
      <c r="E122" s="14"/>
      <c r="F122" s="14"/>
      <c r="G122" s="14"/>
      <c r="H122" s="14"/>
      <c r="I122" s="15"/>
      <c r="J122" s="15"/>
      <c r="K122" s="15"/>
      <c r="L122" s="15"/>
      <c r="M122" s="15"/>
      <c r="N122" s="15"/>
      <c r="O122" s="15"/>
      <c r="P122" s="15"/>
      <c r="Q122" s="15"/>
      <c r="R122" s="16">
        <f>=IF(I122="","",IFERROR(IFERROR(VLOOKUP(I122,Listas!$A$15:$B$20,2,0),0)+IFERROR(VLOOKUP(J122,Listas!$A$24:$B$29,2,0),0)+IFERROR(VLOOKUP(K122,Listas!$A$33:$B$37,2,0),0)+IFERROR(VLOOKUP(L122,Listas!$A$41:$B$44,2,0),0)+IFERROR(VLOOKUP(M122,Listas!$A$48:$B$50,2,0),0)+IFERROR(VLOOKUP(N122,Listas!$A$54:$B$56,2,0),0)+IFERROR(VLOOKUP(O122,Listas!$A$60:$B$62,2,0),0)+IFERROR(VLOOKUP(P122,Listas!$A$66:$B$69,2,0),0)+IFERROR(VLOOKUP(Q122,Listas!$A$73:$B$76,2,0),0),0))</f>
      </c>
      <c r="S122" s="17">
        <f>=IF(I122="","",IF(R122&gt;=80,"Prioritaria",IF(R122&gt;=60,"Recomendada",IF(R122&gt;=40,"Condicional","Lista de espera"))))</f>
      </c>
      <c r="T122" s="18"/>
      <c r="U122" s="14"/>
      <c r="V122" s="14"/>
    </row>
    <row r="123" ht="18" customHeight="1" spans="1:22" x14ac:dyDescent="0.25">
      <c r="A123" s="6">
        <v>121</v>
      </c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9">
        <f>=IF(I123="","",IFERROR(IFERROR(VLOOKUP(I123,Listas!$A$15:$B$20,2,0),0)+IFERROR(VLOOKUP(J123,Listas!$A$24:$B$29,2,0),0)+IFERROR(VLOOKUP(K123,Listas!$A$33:$B$37,2,0),0)+IFERROR(VLOOKUP(L123,Listas!$A$41:$B$44,2,0),0)+IFERROR(VLOOKUP(M123,Listas!$A$48:$B$50,2,0),0)+IFERROR(VLOOKUP(N123,Listas!$A$54:$B$56,2,0),0)+IFERROR(VLOOKUP(O123,Listas!$A$60:$B$62,2,0),0)+IFERROR(VLOOKUP(P123,Listas!$A$66:$B$69,2,0),0)+IFERROR(VLOOKUP(Q123,Listas!$A$73:$B$76,2,0),0),0))</f>
      </c>
      <c r="S123" s="10">
        <f>=IF(I123="","",IF(R123&gt;=80,"Prioritaria",IF(R123&gt;=60,"Recomendada",IF(R123&gt;=40,"Condicional","Lista de espera"))))</f>
      </c>
      <c r="T123" s="11"/>
      <c r="U123" s="8"/>
      <c r="V123" s="8"/>
    </row>
    <row r="124" ht="18" customHeight="1" spans="1:22" x14ac:dyDescent="0.25">
      <c r="A124" s="12">
        <v>122</v>
      </c>
      <c r="B124" s="13"/>
      <c r="C124" s="14"/>
      <c r="D124" s="14"/>
      <c r="E124" s="14"/>
      <c r="F124" s="14"/>
      <c r="G124" s="14"/>
      <c r="H124" s="14"/>
      <c r="I124" s="15"/>
      <c r="J124" s="15"/>
      <c r="K124" s="15"/>
      <c r="L124" s="15"/>
      <c r="M124" s="15"/>
      <c r="N124" s="15"/>
      <c r="O124" s="15"/>
      <c r="P124" s="15"/>
      <c r="Q124" s="15"/>
      <c r="R124" s="16">
        <f>=IF(I124="","",IFERROR(IFERROR(VLOOKUP(I124,Listas!$A$15:$B$20,2,0),0)+IFERROR(VLOOKUP(J124,Listas!$A$24:$B$29,2,0),0)+IFERROR(VLOOKUP(K124,Listas!$A$33:$B$37,2,0),0)+IFERROR(VLOOKUP(L124,Listas!$A$41:$B$44,2,0),0)+IFERROR(VLOOKUP(M124,Listas!$A$48:$B$50,2,0),0)+IFERROR(VLOOKUP(N124,Listas!$A$54:$B$56,2,0),0)+IFERROR(VLOOKUP(O124,Listas!$A$60:$B$62,2,0),0)+IFERROR(VLOOKUP(P124,Listas!$A$66:$B$69,2,0),0)+IFERROR(VLOOKUP(Q124,Listas!$A$73:$B$76,2,0),0),0))</f>
      </c>
      <c r="S124" s="17">
        <f>=IF(I124="","",IF(R124&gt;=80,"Prioritaria",IF(R124&gt;=60,"Recomendada",IF(R124&gt;=40,"Condicional","Lista de espera"))))</f>
      </c>
      <c r="T124" s="18"/>
      <c r="U124" s="14"/>
      <c r="V124" s="14"/>
    </row>
    <row r="125" ht="18" customHeight="1" spans="1:22" x14ac:dyDescent="0.25">
      <c r="A125" s="6">
        <v>123</v>
      </c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9">
        <f>=IF(I125="","",IFERROR(IFERROR(VLOOKUP(I125,Listas!$A$15:$B$20,2,0),0)+IFERROR(VLOOKUP(J125,Listas!$A$24:$B$29,2,0),0)+IFERROR(VLOOKUP(K125,Listas!$A$33:$B$37,2,0),0)+IFERROR(VLOOKUP(L125,Listas!$A$41:$B$44,2,0),0)+IFERROR(VLOOKUP(M125,Listas!$A$48:$B$50,2,0),0)+IFERROR(VLOOKUP(N125,Listas!$A$54:$B$56,2,0),0)+IFERROR(VLOOKUP(O125,Listas!$A$60:$B$62,2,0),0)+IFERROR(VLOOKUP(P125,Listas!$A$66:$B$69,2,0),0)+IFERROR(VLOOKUP(Q125,Listas!$A$73:$B$76,2,0),0),0))</f>
      </c>
      <c r="S125" s="10">
        <f>=IF(I125="","",IF(R125&gt;=80,"Prioritaria",IF(R125&gt;=60,"Recomendada",IF(R125&gt;=40,"Condicional","Lista de espera"))))</f>
      </c>
      <c r="T125" s="11"/>
      <c r="U125" s="8"/>
      <c r="V125" s="8"/>
    </row>
    <row r="126" ht="18" customHeight="1" spans="1:22" x14ac:dyDescent="0.25">
      <c r="A126" s="12">
        <v>124</v>
      </c>
      <c r="B126" s="13"/>
      <c r="C126" s="14"/>
      <c r="D126" s="14"/>
      <c r="E126" s="14"/>
      <c r="F126" s="14"/>
      <c r="G126" s="14"/>
      <c r="H126" s="14"/>
      <c r="I126" s="15"/>
      <c r="J126" s="15"/>
      <c r="K126" s="15"/>
      <c r="L126" s="15"/>
      <c r="M126" s="15"/>
      <c r="N126" s="15"/>
      <c r="O126" s="15"/>
      <c r="P126" s="15"/>
      <c r="Q126" s="15"/>
      <c r="R126" s="16">
        <f>=IF(I126="","",IFERROR(IFERROR(VLOOKUP(I126,Listas!$A$15:$B$20,2,0),0)+IFERROR(VLOOKUP(J126,Listas!$A$24:$B$29,2,0),0)+IFERROR(VLOOKUP(K126,Listas!$A$33:$B$37,2,0),0)+IFERROR(VLOOKUP(L126,Listas!$A$41:$B$44,2,0),0)+IFERROR(VLOOKUP(M126,Listas!$A$48:$B$50,2,0),0)+IFERROR(VLOOKUP(N126,Listas!$A$54:$B$56,2,0),0)+IFERROR(VLOOKUP(O126,Listas!$A$60:$B$62,2,0),0)+IFERROR(VLOOKUP(P126,Listas!$A$66:$B$69,2,0),0)+IFERROR(VLOOKUP(Q126,Listas!$A$73:$B$76,2,0),0),0))</f>
      </c>
      <c r="S126" s="17">
        <f>=IF(I126="","",IF(R126&gt;=80,"Prioritaria",IF(R126&gt;=60,"Recomendada",IF(R126&gt;=40,"Condicional","Lista de espera"))))</f>
      </c>
      <c r="T126" s="18"/>
      <c r="U126" s="14"/>
      <c r="V126" s="14"/>
    </row>
    <row r="127" ht="18" customHeight="1" spans="1:22" x14ac:dyDescent="0.25">
      <c r="A127" s="6">
        <v>125</v>
      </c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9">
        <f>=IF(I127="","",IFERROR(IFERROR(VLOOKUP(I127,Listas!$A$15:$B$20,2,0),0)+IFERROR(VLOOKUP(J127,Listas!$A$24:$B$29,2,0),0)+IFERROR(VLOOKUP(K127,Listas!$A$33:$B$37,2,0),0)+IFERROR(VLOOKUP(L127,Listas!$A$41:$B$44,2,0),0)+IFERROR(VLOOKUP(M127,Listas!$A$48:$B$50,2,0),0)+IFERROR(VLOOKUP(N127,Listas!$A$54:$B$56,2,0),0)+IFERROR(VLOOKUP(O127,Listas!$A$60:$B$62,2,0),0)+IFERROR(VLOOKUP(P127,Listas!$A$66:$B$69,2,0),0)+IFERROR(VLOOKUP(Q127,Listas!$A$73:$B$76,2,0),0),0))</f>
      </c>
      <c r="S127" s="10">
        <f>=IF(I127="","",IF(R127&gt;=80,"Prioritaria",IF(R127&gt;=60,"Recomendada",IF(R127&gt;=40,"Condicional","Lista de espera"))))</f>
      </c>
      <c r="T127" s="11"/>
      <c r="U127" s="8"/>
      <c r="V127" s="8"/>
    </row>
    <row r="128" ht="18" customHeight="1" spans="1:22" x14ac:dyDescent="0.25">
      <c r="A128" s="12">
        <v>126</v>
      </c>
      <c r="B128" s="13"/>
      <c r="C128" s="14"/>
      <c r="D128" s="14"/>
      <c r="E128" s="14"/>
      <c r="F128" s="14"/>
      <c r="G128" s="14"/>
      <c r="H128" s="14"/>
      <c r="I128" s="15"/>
      <c r="J128" s="15"/>
      <c r="K128" s="15"/>
      <c r="L128" s="15"/>
      <c r="M128" s="15"/>
      <c r="N128" s="15"/>
      <c r="O128" s="15"/>
      <c r="P128" s="15"/>
      <c r="Q128" s="15"/>
      <c r="R128" s="16">
        <f>=IF(I128="","",IFERROR(IFERROR(VLOOKUP(I128,Listas!$A$15:$B$20,2,0),0)+IFERROR(VLOOKUP(J128,Listas!$A$24:$B$29,2,0),0)+IFERROR(VLOOKUP(K128,Listas!$A$33:$B$37,2,0),0)+IFERROR(VLOOKUP(L128,Listas!$A$41:$B$44,2,0),0)+IFERROR(VLOOKUP(M128,Listas!$A$48:$B$50,2,0),0)+IFERROR(VLOOKUP(N128,Listas!$A$54:$B$56,2,0),0)+IFERROR(VLOOKUP(O128,Listas!$A$60:$B$62,2,0),0)+IFERROR(VLOOKUP(P128,Listas!$A$66:$B$69,2,0),0)+IFERROR(VLOOKUP(Q128,Listas!$A$73:$B$76,2,0),0),0))</f>
      </c>
      <c r="S128" s="17">
        <f>=IF(I128="","",IF(R128&gt;=80,"Prioritaria",IF(R128&gt;=60,"Recomendada",IF(R128&gt;=40,"Condicional","Lista de espera"))))</f>
      </c>
      <c r="T128" s="18"/>
      <c r="U128" s="14"/>
      <c r="V128" s="14"/>
    </row>
    <row r="129" ht="18" customHeight="1" spans="1:22" x14ac:dyDescent="0.25">
      <c r="A129" s="6">
        <v>127</v>
      </c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9">
        <f>=IF(I129="","",IFERROR(IFERROR(VLOOKUP(I129,Listas!$A$15:$B$20,2,0),0)+IFERROR(VLOOKUP(J129,Listas!$A$24:$B$29,2,0),0)+IFERROR(VLOOKUP(K129,Listas!$A$33:$B$37,2,0),0)+IFERROR(VLOOKUP(L129,Listas!$A$41:$B$44,2,0),0)+IFERROR(VLOOKUP(M129,Listas!$A$48:$B$50,2,0),0)+IFERROR(VLOOKUP(N129,Listas!$A$54:$B$56,2,0),0)+IFERROR(VLOOKUP(O129,Listas!$A$60:$B$62,2,0),0)+IFERROR(VLOOKUP(P129,Listas!$A$66:$B$69,2,0),0)+IFERROR(VLOOKUP(Q129,Listas!$A$73:$B$76,2,0),0),0))</f>
      </c>
      <c r="S129" s="10">
        <f>=IF(I129="","",IF(R129&gt;=80,"Prioritaria",IF(R129&gt;=60,"Recomendada",IF(R129&gt;=40,"Condicional","Lista de espera"))))</f>
      </c>
      <c r="T129" s="11"/>
      <c r="U129" s="8"/>
      <c r="V129" s="8"/>
    </row>
    <row r="130" ht="18" customHeight="1" spans="1:22" x14ac:dyDescent="0.25">
      <c r="A130" s="12">
        <v>128</v>
      </c>
      <c r="B130" s="13"/>
      <c r="C130" s="14"/>
      <c r="D130" s="14"/>
      <c r="E130" s="14"/>
      <c r="F130" s="14"/>
      <c r="G130" s="14"/>
      <c r="H130" s="14"/>
      <c r="I130" s="15"/>
      <c r="J130" s="15"/>
      <c r="K130" s="15"/>
      <c r="L130" s="15"/>
      <c r="M130" s="15"/>
      <c r="N130" s="15"/>
      <c r="O130" s="15"/>
      <c r="P130" s="15"/>
      <c r="Q130" s="15"/>
      <c r="R130" s="16">
        <f>=IF(I130="","",IFERROR(IFERROR(VLOOKUP(I130,Listas!$A$15:$B$20,2,0),0)+IFERROR(VLOOKUP(J130,Listas!$A$24:$B$29,2,0),0)+IFERROR(VLOOKUP(K130,Listas!$A$33:$B$37,2,0),0)+IFERROR(VLOOKUP(L130,Listas!$A$41:$B$44,2,0),0)+IFERROR(VLOOKUP(M130,Listas!$A$48:$B$50,2,0),0)+IFERROR(VLOOKUP(N130,Listas!$A$54:$B$56,2,0),0)+IFERROR(VLOOKUP(O130,Listas!$A$60:$B$62,2,0),0)+IFERROR(VLOOKUP(P130,Listas!$A$66:$B$69,2,0),0)+IFERROR(VLOOKUP(Q130,Listas!$A$73:$B$76,2,0),0),0))</f>
      </c>
      <c r="S130" s="17">
        <f>=IF(I130="","",IF(R130&gt;=80,"Prioritaria",IF(R130&gt;=60,"Recomendada",IF(R130&gt;=40,"Condicional","Lista de espera"))))</f>
      </c>
      <c r="T130" s="18"/>
      <c r="U130" s="14"/>
      <c r="V130" s="14"/>
    </row>
    <row r="131" ht="18" customHeight="1" spans="1:22" x14ac:dyDescent="0.25">
      <c r="A131" s="6">
        <v>129</v>
      </c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9">
        <f>=IF(I131="","",IFERROR(IFERROR(VLOOKUP(I131,Listas!$A$15:$B$20,2,0),0)+IFERROR(VLOOKUP(J131,Listas!$A$24:$B$29,2,0),0)+IFERROR(VLOOKUP(K131,Listas!$A$33:$B$37,2,0),0)+IFERROR(VLOOKUP(L131,Listas!$A$41:$B$44,2,0),0)+IFERROR(VLOOKUP(M131,Listas!$A$48:$B$50,2,0),0)+IFERROR(VLOOKUP(N131,Listas!$A$54:$B$56,2,0),0)+IFERROR(VLOOKUP(O131,Listas!$A$60:$B$62,2,0),0)+IFERROR(VLOOKUP(P131,Listas!$A$66:$B$69,2,0),0)+IFERROR(VLOOKUP(Q131,Listas!$A$73:$B$76,2,0),0),0))</f>
      </c>
      <c r="S131" s="10">
        <f>=IF(I131="","",IF(R131&gt;=80,"Prioritaria",IF(R131&gt;=60,"Recomendada",IF(R131&gt;=40,"Condicional","Lista de espera"))))</f>
      </c>
      <c r="T131" s="11"/>
      <c r="U131" s="8"/>
      <c r="V131" s="8"/>
    </row>
    <row r="132" ht="18" customHeight="1" spans="1:22" x14ac:dyDescent="0.25">
      <c r="A132" s="12">
        <v>130</v>
      </c>
      <c r="B132" s="13"/>
      <c r="C132" s="14"/>
      <c r="D132" s="14"/>
      <c r="E132" s="14"/>
      <c r="F132" s="14"/>
      <c r="G132" s="14"/>
      <c r="H132" s="14"/>
      <c r="I132" s="15"/>
      <c r="J132" s="15"/>
      <c r="K132" s="15"/>
      <c r="L132" s="15"/>
      <c r="M132" s="15"/>
      <c r="N132" s="15"/>
      <c r="O132" s="15"/>
      <c r="P132" s="15"/>
      <c r="Q132" s="15"/>
      <c r="R132" s="16">
        <f>=IF(I132="","",IFERROR(IFERROR(VLOOKUP(I132,Listas!$A$15:$B$20,2,0),0)+IFERROR(VLOOKUP(J132,Listas!$A$24:$B$29,2,0),0)+IFERROR(VLOOKUP(K132,Listas!$A$33:$B$37,2,0),0)+IFERROR(VLOOKUP(L132,Listas!$A$41:$B$44,2,0),0)+IFERROR(VLOOKUP(M132,Listas!$A$48:$B$50,2,0),0)+IFERROR(VLOOKUP(N132,Listas!$A$54:$B$56,2,0),0)+IFERROR(VLOOKUP(O132,Listas!$A$60:$B$62,2,0),0)+IFERROR(VLOOKUP(P132,Listas!$A$66:$B$69,2,0),0)+IFERROR(VLOOKUP(Q132,Listas!$A$73:$B$76,2,0),0),0))</f>
      </c>
      <c r="S132" s="17">
        <f>=IF(I132="","",IF(R132&gt;=80,"Prioritaria",IF(R132&gt;=60,"Recomendada",IF(R132&gt;=40,"Condicional","Lista de espera"))))</f>
      </c>
      <c r="T132" s="18"/>
      <c r="U132" s="14"/>
      <c r="V132" s="14"/>
    </row>
    <row r="133" ht="18" customHeight="1" spans="1:22" x14ac:dyDescent="0.25">
      <c r="A133" s="6">
        <v>131</v>
      </c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9">
        <f>=IF(I133="","",IFERROR(IFERROR(VLOOKUP(I133,Listas!$A$15:$B$20,2,0),0)+IFERROR(VLOOKUP(J133,Listas!$A$24:$B$29,2,0),0)+IFERROR(VLOOKUP(K133,Listas!$A$33:$B$37,2,0),0)+IFERROR(VLOOKUP(L133,Listas!$A$41:$B$44,2,0),0)+IFERROR(VLOOKUP(M133,Listas!$A$48:$B$50,2,0),0)+IFERROR(VLOOKUP(N133,Listas!$A$54:$B$56,2,0),0)+IFERROR(VLOOKUP(O133,Listas!$A$60:$B$62,2,0),0)+IFERROR(VLOOKUP(P133,Listas!$A$66:$B$69,2,0),0)+IFERROR(VLOOKUP(Q133,Listas!$A$73:$B$76,2,0),0),0))</f>
      </c>
      <c r="S133" s="10">
        <f>=IF(I133="","",IF(R133&gt;=80,"Prioritaria",IF(R133&gt;=60,"Recomendada",IF(R133&gt;=40,"Condicional","Lista de espera"))))</f>
      </c>
      <c r="T133" s="11"/>
      <c r="U133" s="8"/>
      <c r="V133" s="8"/>
    </row>
    <row r="134" ht="18" customHeight="1" spans="1:22" x14ac:dyDescent="0.25">
      <c r="A134" s="12">
        <v>132</v>
      </c>
      <c r="B134" s="13"/>
      <c r="C134" s="14"/>
      <c r="D134" s="14"/>
      <c r="E134" s="14"/>
      <c r="F134" s="14"/>
      <c r="G134" s="14"/>
      <c r="H134" s="14"/>
      <c r="I134" s="15"/>
      <c r="J134" s="15"/>
      <c r="K134" s="15"/>
      <c r="L134" s="15"/>
      <c r="M134" s="15"/>
      <c r="N134" s="15"/>
      <c r="O134" s="15"/>
      <c r="P134" s="15"/>
      <c r="Q134" s="15"/>
      <c r="R134" s="16">
        <f>=IF(I134="","",IFERROR(IFERROR(VLOOKUP(I134,Listas!$A$15:$B$20,2,0),0)+IFERROR(VLOOKUP(J134,Listas!$A$24:$B$29,2,0),0)+IFERROR(VLOOKUP(K134,Listas!$A$33:$B$37,2,0),0)+IFERROR(VLOOKUP(L134,Listas!$A$41:$B$44,2,0),0)+IFERROR(VLOOKUP(M134,Listas!$A$48:$B$50,2,0),0)+IFERROR(VLOOKUP(N134,Listas!$A$54:$B$56,2,0),0)+IFERROR(VLOOKUP(O134,Listas!$A$60:$B$62,2,0),0)+IFERROR(VLOOKUP(P134,Listas!$A$66:$B$69,2,0),0)+IFERROR(VLOOKUP(Q134,Listas!$A$73:$B$76,2,0),0),0))</f>
      </c>
      <c r="S134" s="17">
        <f>=IF(I134="","",IF(R134&gt;=80,"Prioritaria",IF(R134&gt;=60,"Recomendada",IF(R134&gt;=40,"Condicional","Lista de espera"))))</f>
      </c>
      <c r="T134" s="18"/>
      <c r="U134" s="14"/>
      <c r="V134" s="14"/>
    </row>
    <row r="135" ht="18" customHeight="1" spans="1:22" x14ac:dyDescent="0.25">
      <c r="A135" s="6">
        <v>133</v>
      </c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9">
        <f>=IF(I135="","",IFERROR(IFERROR(VLOOKUP(I135,Listas!$A$15:$B$20,2,0),0)+IFERROR(VLOOKUP(J135,Listas!$A$24:$B$29,2,0),0)+IFERROR(VLOOKUP(K135,Listas!$A$33:$B$37,2,0),0)+IFERROR(VLOOKUP(L135,Listas!$A$41:$B$44,2,0),0)+IFERROR(VLOOKUP(M135,Listas!$A$48:$B$50,2,0),0)+IFERROR(VLOOKUP(N135,Listas!$A$54:$B$56,2,0),0)+IFERROR(VLOOKUP(O135,Listas!$A$60:$B$62,2,0),0)+IFERROR(VLOOKUP(P135,Listas!$A$66:$B$69,2,0),0)+IFERROR(VLOOKUP(Q135,Listas!$A$73:$B$76,2,0),0),0))</f>
      </c>
      <c r="S135" s="10">
        <f>=IF(I135="","",IF(R135&gt;=80,"Prioritaria",IF(R135&gt;=60,"Recomendada",IF(R135&gt;=40,"Condicional","Lista de espera"))))</f>
      </c>
      <c r="T135" s="11"/>
      <c r="U135" s="8"/>
      <c r="V135" s="8"/>
    </row>
    <row r="136" ht="18" customHeight="1" spans="1:22" x14ac:dyDescent="0.25">
      <c r="A136" s="12">
        <v>134</v>
      </c>
      <c r="B136" s="13"/>
      <c r="C136" s="14"/>
      <c r="D136" s="14"/>
      <c r="E136" s="14"/>
      <c r="F136" s="14"/>
      <c r="G136" s="14"/>
      <c r="H136" s="14"/>
      <c r="I136" s="15"/>
      <c r="J136" s="15"/>
      <c r="K136" s="15"/>
      <c r="L136" s="15"/>
      <c r="M136" s="15"/>
      <c r="N136" s="15"/>
      <c r="O136" s="15"/>
      <c r="P136" s="15"/>
      <c r="Q136" s="15"/>
      <c r="R136" s="16">
        <f>=IF(I136="","",IFERROR(IFERROR(VLOOKUP(I136,Listas!$A$15:$B$20,2,0),0)+IFERROR(VLOOKUP(J136,Listas!$A$24:$B$29,2,0),0)+IFERROR(VLOOKUP(K136,Listas!$A$33:$B$37,2,0),0)+IFERROR(VLOOKUP(L136,Listas!$A$41:$B$44,2,0),0)+IFERROR(VLOOKUP(M136,Listas!$A$48:$B$50,2,0),0)+IFERROR(VLOOKUP(N136,Listas!$A$54:$B$56,2,0),0)+IFERROR(VLOOKUP(O136,Listas!$A$60:$B$62,2,0),0)+IFERROR(VLOOKUP(P136,Listas!$A$66:$B$69,2,0),0)+IFERROR(VLOOKUP(Q136,Listas!$A$73:$B$76,2,0),0),0))</f>
      </c>
      <c r="S136" s="17">
        <f>=IF(I136="","",IF(R136&gt;=80,"Prioritaria",IF(R136&gt;=60,"Recomendada",IF(R136&gt;=40,"Condicional","Lista de espera"))))</f>
      </c>
      <c r="T136" s="18"/>
      <c r="U136" s="14"/>
      <c r="V136" s="14"/>
    </row>
    <row r="137" ht="18" customHeight="1" spans="1:22" x14ac:dyDescent="0.25">
      <c r="A137" s="6">
        <v>135</v>
      </c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9">
        <f>=IF(I137="","",IFERROR(IFERROR(VLOOKUP(I137,Listas!$A$15:$B$20,2,0),0)+IFERROR(VLOOKUP(J137,Listas!$A$24:$B$29,2,0),0)+IFERROR(VLOOKUP(K137,Listas!$A$33:$B$37,2,0),0)+IFERROR(VLOOKUP(L137,Listas!$A$41:$B$44,2,0),0)+IFERROR(VLOOKUP(M137,Listas!$A$48:$B$50,2,0),0)+IFERROR(VLOOKUP(N137,Listas!$A$54:$B$56,2,0),0)+IFERROR(VLOOKUP(O137,Listas!$A$60:$B$62,2,0),0)+IFERROR(VLOOKUP(P137,Listas!$A$66:$B$69,2,0),0)+IFERROR(VLOOKUP(Q137,Listas!$A$73:$B$76,2,0),0),0))</f>
      </c>
      <c r="S137" s="10">
        <f>=IF(I137="","",IF(R137&gt;=80,"Prioritaria",IF(R137&gt;=60,"Recomendada",IF(R137&gt;=40,"Condicional","Lista de espera"))))</f>
      </c>
      <c r="T137" s="11"/>
      <c r="U137" s="8"/>
      <c r="V137" s="8"/>
    </row>
    <row r="138" ht="18" customHeight="1" spans="1:22" x14ac:dyDescent="0.25">
      <c r="A138" s="12">
        <v>136</v>
      </c>
      <c r="B138" s="13"/>
      <c r="C138" s="14"/>
      <c r="D138" s="14"/>
      <c r="E138" s="14"/>
      <c r="F138" s="14"/>
      <c r="G138" s="14"/>
      <c r="H138" s="14"/>
      <c r="I138" s="15"/>
      <c r="J138" s="15"/>
      <c r="K138" s="15"/>
      <c r="L138" s="15"/>
      <c r="M138" s="15"/>
      <c r="N138" s="15"/>
      <c r="O138" s="15"/>
      <c r="P138" s="15"/>
      <c r="Q138" s="15"/>
      <c r="R138" s="16">
        <f>=IF(I138="","",IFERROR(IFERROR(VLOOKUP(I138,Listas!$A$15:$B$20,2,0),0)+IFERROR(VLOOKUP(J138,Listas!$A$24:$B$29,2,0),0)+IFERROR(VLOOKUP(K138,Listas!$A$33:$B$37,2,0),0)+IFERROR(VLOOKUP(L138,Listas!$A$41:$B$44,2,0),0)+IFERROR(VLOOKUP(M138,Listas!$A$48:$B$50,2,0),0)+IFERROR(VLOOKUP(N138,Listas!$A$54:$B$56,2,0),0)+IFERROR(VLOOKUP(O138,Listas!$A$60:$B$62,2,0),0)+IFERROR(VLOOKUP(P138,Listas!$A$66:$B$69,2,0),0)+IFERROR(VLOOKUP(Q138,Listas!$A$73:$B$76,2,0),0),0))</f>
      </c>
      <c r="S138" s="17">
        <f>=IF(I138="","",IF(R138&gt;=80,"Prioritaria",IF(R138&gt;=60,"Recomendada",IF(R138&gt;=40,"Condicional","Lista de espera"))))</f>
      </c>
      <c r="T138" s="18"/>
      <c r="U138" s="14"/>
      <c r="V138" s="14"/>
    </row>
    <row r="139" ht="18" customHeight="1" spans="1:22" x14ac:dyDescent="0.25">
      <c r="A139" s="6">
        <v>137</v>
      </c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9">
        <f>=IF(I139="","",IFERROR(IFERROR(VLOOKUP(I139,Listas!$A$15:$B$20,2,0),0)+IFERROR(VLOOKUP(J139,Listas!$A$24:$B$29,2,0),0)+IFERROR(VLOOKUP(K139,Listas!$A$33:$B$37,2,0),0)+IFERROR(VLOOKUP(L139,Listas!$A$41:$B$44,2,0),0)+IFERROR(VLOOKUP(M139,Listas!$A$48:$B$50,2,0),0)+IFERROR(VLOOKUP(N139,Listas!$A$54:$B$56,2,0),0)+IFERROR(VLOOKUP(O139,Listas!$A$60:$B$62,2,0),0)+IFERROR(VLOOKUP(P139,Listas!$A$66:$B$69,2,0),0)+IFERROR(VLOOKUP(Q139,Listas!$A$73:$B$76,2,0),0),0))</f>
      </c>
      <c r="S139" s="10">
        <f>=IF(I139="","",IF(R139&gt;=80,"Prioritaria",IF(R139&gt;=60,"Recomendada",IF(R139&gt;=40,"Condicional","Lista de espera"))))</f>
      </c>
      <c r="T139" s="11"/>
      <c r="U139" s="8"/>
      <c r="V139" s="8"/>
    </row>
    <row r="140" ht="18" customHeight="1" spans="1:22" x14ac:dyDescent="0.25">
      <c r="A140" s="12">
        <v>138</v>
      </c>
      <c r="B140" s="13"/>
      <c r="C140" s="14"/>
      <c r="D140" s="14"/>
      <c r="E140" s="14"/>
      <c r="F140" s="14"/>
      <c r="G140" s="14"/>
      <c r="H140" s="14"/>
      <c r="I140" s="15"/>
      <c r="J140" s="15"/>
      <c r="K140" s="15"/>
      <c r="L140" s="15"/>
      <c r="M140" s="15"/>
      <c r="N140" s="15"/>
      <c r="O140" s="15"/>
      <c r="P140" s="15"/>
      <c r="Q140" s="15"/>
      <c r="R140" s="16">
        <f>=IF(I140="","",IFERROR(IFERROR(VLOOKUP(I140,Listas!$A$15:$B$20,2,0),0)+IFERROR(VLOOKUP(J140,Listas!$A$24:$B$29,2,0),0)+IFERROR(VLOOKUP(K140,Listas!$A$33:$B$37,2,0),0)+IFERROR(VLOOKUP(L140,Listas!$A$41:$B$44,2,0),0)+IFERROR(VLOOKUP(M140,Listas!$A$48:$B$50,2,0),0)+IFERROR(VLOOKUP(N140,Listas!$A$54:$B$56,2,0),0)+IFERROR(VLOOKUP(O140,Listas!$A$60:$B$62,2,0),0)+IFERROR(VLOOKUP(P140,Listas!$A$66:$B$69,2,0),0)+IFERROR(VLOOKUP(Q140,Listas!$A$73:$B$76,2,0),0),0))</f>
      </c>
      <c r="S140" s="17">
        <f>=IF(I140="","",IF(R140&gt;=80,"Prioritaria",IF(R140&gt;=60,"Recomendada",IF(R140&gt;=40,"Condicional","Lista de espera"))))</f>
      </c>
      <c r="T140" s="18"/>
      <c r="U140" s="14"/>
      <c r="V140" s="14"/>
    </row>
    <row r="141" ht="18" customHeight="1" spans="1:22" x14ac:dyDescent="0.25">
      <c r="A141" s="6">
        <v>139</v>
      </c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9">
        <f>=IF(I141="","",IFERROR(IFERROR(VLOOKUP(I141,Listas!$A$15:$B$20,2,0),0)+IFERROR(VLOOKUP(J141,Listas!$A$24:$B$29,2,0),0)+IFERROR(VLOOKUP(K141,Listas!$A$33:$B$37,2,0),0)+IFERROR(VLOOKUP(L141,Listas!$A$41:$B$44,2,0),0)+IFERROR(VLOOKUP(M141,Listas!$A$48:$B$50,2,0),0)+IFERROR(VLOOKUP(N141,Listas!$A$54:$B$56,2,0),0)+IFERROR(VLOOKUP(O141,Listas!$A$60:$B$62,2,0),0)+IFERROR(VLOOKUP(P141,Listas!$A$66:$B$69,2,0),0)+IFERROR(VLOOKUP(Q141,Listas!$A$73:$B$76,2,0),0),0))</f>
      </c>
      <c r="S141" s="10">
        <f>=IF(I141="","",IF(R141&gt;=80,"Prioritaria",IF(R141&gt;=60,"Recomendada",IF(R141&gt;=40,"Condicional","Lista de espera"))))</f>
      </c>
      <c r="T141" s="11"/>
      <c r="U141" s="8"/>
      <c r="V141" s="8"/>
    </row>
    <row r="142" ht="18" customHeight="1" spans="1:22" x14ac:dyDescent="0.25">
      <c r="A142" s="12">
        <v>140</v>
      </c>
      <c r="B142" s="13"/>
      <c r="C142" s="14"/>
      <c r="D142" s="14"/>
      <c r="E142" s="14"/>
      <c r="F142" s="14"/>
      <c r="G142" s="14"/>
      <c r="H142" s="14"/>
      <c r="I142" s="15"/>
      <c r="J142" s="15"/>
      <c r="K142" s="15"/>
      <c r="L142" s="15"/>
      <c r="M142" s="15"/>
      <c r="N142" s="15"/>
      <c r="O142" s="15"/>
      <c r="P142" s="15"/>
      <c r="Q142" s="15"/>
      <c r="R142" s="16">
        <f>=IF(I142="","",IFERROR(IFERROR(VLOOKUP(I142,Listas!$A$15:$B$20,2,0),0)+IFERROR(VLOOKUP(J142,Listas!$A$24:$B$29,2,0),0)+IFERROR(VLOOKUP(K142,Listas!$A$33:$B$37,2,0),0)+IFERROR(VLOOKUP(L142,Listas!$A$41:$B$44,2,0),0)+IFERROR(VLOOKUP(M142,Listas!$A$48:$B$50,2,0),0)+IFERROR(VLOOKUP(N142,Listas!$A$54:$B$56,2,0),0)+IFERROR(VLOOKUP(O142,Listas!$A$60:$B$62,2,0),0)+IFERROR(VLOOKUP(P142,Listas!$A$66:$B$69,2,0),0)+IFERROR(VLOOKUP(Q142,Listas!$A$73:$B$76,2,0),0),0))</f>
      </c>
      <c r="S142" s="17">
        <f>=IF(I142="","",IF(R142&gt;=80,"Prioritaria",IF(R142&gt;=60,"Recomendada",IF(R142&gt;=40,"Condicional","Lista de espera"))))</f>
      </c>
      <c r="T142" s="18"/>
      <c r="U142" s="14"/>
      <c r="V142" s="14"/>
    </row>
    <row r="143" ht="18" customHeight="1" spans="1:22" x14ac:dyDescent="0.25">
      <c r="A143" s="6">
        <v>141</v>
      </c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9">
        <f>=IF(I143="","",IFERROR(IFERROR(VLOOKUP(I143,Listas!$A$15:$B$20,2,0),0)+IFERROR(VLOOKUP(J143,Listas!$A$24:$B$29,2,0),0)+IFERROR(VLOOKUP(K143,Listas!$A$33:$B$37,2,0),0)+IFERROR(VLOOKUP(L143,Listas!$A$41:$B$44,2,0),0)+IFERROR(VLOOKUP(M143,Listas!$A$48:$B$50,2,0),0)+IFERROR(VLOOKUP(N143,Listas!$A$54:$B$56,2,0),0)+IFERROR(VLOOKUP(O143,Listas!$A$60:$B$62,2,0),0)+IFERROR(VLOOKUP(P143,Listas!$A$66:$B$69,2,0),0)+IFERROR(VLOOKUP(Q143,Listas!$A$73:$B$76,2,0),0),0))</f>
      </c>
      <c r="S143" s="10">
        <f>=IF(I143="","",IF(R143&gt;=80,"Prioritaria",IF(R143&gt;=60,"Recomendada",IF(R143&gt;=40,"Condicional","Lista de espera"))))</f>
      </c>
      <c r="T143" s="11"/>
      <c r="U143" s="8"/>
      <c r="V143" s="8"/>
    </row>
    <row r="144" ht="18" customHeight="1" spans="1:22" x14ac:dyDescent="0.25">
      <c r="A144" s="12">
        <v>142</v>
      </c>
      <c r="B144" s="13"/>
      <c r="C144" s="14"/>
      <c r="D144" s="14"/>
      <c r="E144" s="14"/>
      <c r="F144" s="14"/>
      <c r="G144" s="14"/>
      <c r="H144" s="14"/>
      <c r="I144" s="15"/>
      <c r="J144" s="15"/>
      <c r="K144" s="15"/>
      <c r="L144" s="15"/>
      <c r="M144" s="15"/>
      <c r="N144" s="15"/>
      <c r="O144" s="15"/>
      <c r="P144" s="15"/>
      <c r="Q144" s="15"/>
      <c r="R144" s="16">
        <f>=IF(I144="","",IFERROR(IFERROR(VLOOKUP(I144,Listas!$A$15:$B$20,2,0),0)+IFERROR(VLOOKUP(J144,Listas!$A$24:$B$29,2,0),0)+IFERROR(VLOOKUP(K144,Listas!$A$33:$B$37,2,0),0)+IFERROR(VLOOKUP(L144,Listas!$A$41:$B$44,2,0),0)+IFERROR(VLOOKUP(M144,Listas!$A$48:$B$50,2,0),0)+IFERROR(VLOOKUP(N144,Listas!$A$54:$B$56,2,0),0)+IFERROR(VLOOKUP(O144,Listas!$A$60:$B$62,2,0),0)+IFERROR(VLOOKUP(P144,Listas!$A$66:$B$69,2,0),0)+IFERROR(VLOOKUP(Q144,Listas!$A$73:$B$76,2,0),0),0))</f>
      </c>
      <c r="S144" s="17">
        <f>=IF(I144="","",IF(R144&gt;=80,"Prioritaria",IF(R144&gt;=60,"Recomendada",IF(R144&gt;=40,"Condicional","Lista de espera"))))</f>
      </c>
      <c r="T144" s="18"/>
      <c r="U144" s="14"/>
      <c r="V144" s="14"/>
    </row>
    <row r="145" ht="18" customHeight="1" spans="1:22" x14ac:dyDescent="0.25">
      <c r="A145" s="6">
        <v>143</v>
      </c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9">
        <f>=IF(I145="","",IFERROR(IFERROR(VLOOKUP(I145,Listas!$A$15:$B$20,2,0),0)+IFERROR(VLOOKUP(J145,Listas!$A$24:$B$29,2,0),0)+IFERROR(VLOOKUP(K145,Listas!$A$33:$B$37,2,0),0)+IFERROR(VLOOKUP(L145,Listas!$A$41:$B$44,2,0),0)+IFERROR(VLOOKUP(M145,Listas!$A$48:$B$50,2,0),0)+IFERROR(VLOOKUP(N145,Listas!$A$54:$B$56,2,0),0)+IFERROR(VLOOKUP(O145,Listas!$A$60:$B$62,2,0),0)+IFERROR(VLOOKUP(P145,Listas!$A$66:$B$69,2,0),0)+IFERROR(VLOOKUP(Q145,Listas!$A$73:$B$76,2,0),0),0))</f>
      </c>
      <c r="S145" s="10">
        <f>=IF(I145="","",IF(R145&gt;=80,"Prioritaria",IF(R145&gt;=60,"Recomendada",IF(R145&gt;=40,"Condicional","Lista de espera"))))</f>
      </c>
      <c r="T145" s="11"/>
      <c r="U145" s="8"/>
      <c r="V145" s="8"/>
    </row>
    <row r="146" ht="18" customHeight="1" spans="1:22" x14ac:dyDescent="0.25">
      <c r="A146" s="12">
        <v>144</v>
      </c>
      <c r="B146" s="13"/>
      <c r="C146" s="14"/>
      <c r="D146" s="14"/>
      <c r="E146" s="14"/>
      <c r="F146" s="14"/>
      <c r="G146" s="14"/>
      <c r="H146" s="14"/>
      <c r="I146" s="15"/>
      <c r="J146" s="15"/>
      <c r="K146" s="15"/>
      <c r="L146" s="15"/>
      <c r="M146" s="15"/>
      <c r="N146" s="15"/>
      <c r="O146" s="15"/>
      <c r="P146" s="15"/>
      <c r="Q146" s="15"/>
      <c r="R146" s="16">
        <f>=IF(I146="","",IFERROR(IFERROR(VLOOKUP(I146,Listas!$A$15:$B$20,2,0),0)+IFERROR(VLOOKUP(J146,Listas!$A$24:$B$29,2,0),0)+IFERROR(VLOOKUP(K146,Listas!$A$33:$B$37,2,0),0)+IFERROR(VLOOKUP(L146,Listas!$A$41:$B$44,2,0),0)+IFERROR(VLOOKUP(M146,Listas!$A$48:$B$50,2,0),0)+IFERROR(VLOOKUP(N146,Listas!$A$54:$B$56,2,0),0)+IFERROR(VLOOKUP(O146,Listas!$A$60:$B$62,2,0),0)+IFERROR(VLOOKUP(P146,Listas!$A$66:$B$69,2,0),0)+IFERROR(VLOOKUP(Q146,Listas!$A$73:$B$76,2,0),0),0))</f>
      </c>
      <c r="S146" s="17">
        <f>=IF(I146="","",IF(R146&gt;=80,"Prioritaria",IF(R146&gt;=60,"Recomendada",IF(R146&gt;=40,"Condicional","Lista de espera"))))</f>
      </c>
      <c r="T146" s="18"/>
      <c r="U146" s="14"/>
      <c r="V146" s="14"/>
    </row>
    <row r="147" ht="18" customHeight="1" spans="1:22" x14ac:dyDescent="0.25">
      <c r="A147" s="6">
        <v>145</v>
      </c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9">
        <f>=IF(I147="","",IFERROR(IFERROR(VLOOKUP(I147,Listas!$A$15:$B$20,2,0),0)+IFERROR(VLOOKUP(J147,Listas!$A$24:$B$29,2,0),0)+IFERROR(VLOOKUP(K147,Listas!$A$33:$B$37,2,0),0)+IFERROR(VLOOKUP(L147,Listas!$A$41:$B$44,2,0),0)+IFERROR(VLOOKUP(M147,Listas!$A$48:$B$50,2,0),0)+IFERROR(VLOOKUP(N147,Listas!$A$54:$B$56,2,0),0)+IFERROR(VLOOKUP(O147,Listas!$A$60:$B$62,2,0),0)+IFERROR(VLOOKUP(P147,Listas!$A$66:$B$69,2,0),0)+IFERROR(VLOOKUP(Q147,Listas!$A$73:$B$76,2,0),0),0))</f>
      </c>
      <c r="S147" s="10">
        <f>=IF(I147="","",IF(R147&gt;=80,"Prioritaria",IF(R147&gt;=60,"Recomendada",IF(R147&gt;=40,"Condicional","Lista de espera"))))</f>
      </c>
      <c r="T147" s="11"/>
      <c r="U147" s="8"/>
      <c r="V147" s="8"/>
    </row>
    <row r="148" ht="18" customHeight="1" spans="1:22" x14ac:dyDescent="0.25">
      <c r="A148" s="12">
        <v>146</v>
      </c>
      <c r="B148" s="13"/>
      <c r="C148" s="14"/>
      <c r="D148" s="14"/>
      <c r="E148" s="14"/>
      <c r="F148" s="14"/>
      <c r="G148" s="14"/>
      <c r="H148" s="14"/>
      <c r="I148" s="15"/>
      <c r="J148" s="15"/>
      <c r="K148" s="15"/>
      <c r="L148" s="15"/>
      <c r="M148" s="15"/>
      <c r="N148" s="15"/>
      <c r="O148" s="15"/>
      <c r="P148" s="15"/>
      <c r="Q148" s="15"/>
      <c r="R148" s="16">
        <f>=IF(I148="","",IFERROR(IFERROR(VLOOKUP(I148,Listas!$A$15:$B$20,2,0),0)+IFERROR(VLOOKUP(J148,Listas!$A$24:$B$29,2,0),0)+IFERROR(VLOOKUP(K148,Listas!$A$33:$B$37,2,0),0)+IFERROR(VLOOKUP(L148,Listas!$A$41:$B$44,2,0),0)+IFERROR(VLOOKUP(M148,Listas!$A$48:$B$50,2,0),0)+IFERROR(VLOOKUP(N148,Listas!$A$54:$B$56,2,0),0)+IFERROR(VLOOKUP(O148,Listas!$A$60:$B$62,2,0),0)+IFERROR(VLOOKUP(P148,Listas!$A$66:$B$69,2,0),0)+IFERROR(VLOOKUP(Q148,Listas!$A$73:$B$76,2,0),0),0))</f>
      </c>
      <c r="S148" s="17">
        <f>=IF(I148="","",IF(R148&gt;=80,"Prioritaria",IF(R148&gt;=60,"Recomendada",IF(R148&gt;=40,"Condicional","Lista de espera"))))</f>
      </c>
      <c r="T148" s="18"/>
      <c r="U148" s="14"/>
      <c r="V148" s="14"/>
    </row>
    <row r="149" ht="18" customHeight="1" spans="1:22" x14ac:dyDescent="0.25">
      <c r="A149" s="6">
        <v>147</v>
      </c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9">
        <f>=IF(I149="","",IFERROR(IFERROR(VLOOKUP(I149,Listas!$A$15:$B$20,2,0),0)+IFERROR(VLOOKUP(J149,Listas!$A$24:$B$29,2,0),0)+IFERROR(VLOOKUP(K149,Listas!$A$33:$B$37,2,0),0)+IFERROR(VLOOKUP(L149,Listas!$A$41:$B$44,2,0),0)+IFERROR(VLOOKUP(M149,Listas!$A$48:$B$50,2,0),0)+IFERROR(VLOOKUP(N149,Listas!$A$54:$B$56,2,0),0)+IFERROR(VLOOKUP(O149,Listas!$A$60:$B$62,2,0),0)+IFERROR(VLOOKUP(P149,Listas!$A$66:$B$69,2,0),0)+IFERROR(VLOOKUP(Q149,Listas!$A$73:$B$76,2,0),0),0))</f>
      </c>
      <c r="S149" s="10">
        <f>=IF(I149="","",IF(R149&gt;=80,"Prioritaria",IF(R149&gt;=60,"Recomendada",IF(R149&gt;=40,"Condicional","Lista de espera"))))</f>
      </c>
      <c r="T149" s="11"/>
      <c r="U149" s="8"/>
      <c r="V149" s="8"/>
    </row>
    <row r="150" ht="18" customHeight="1" spans="1:22" x14ac:dyDescent="0.25">
      <c r="A150" s="12">
        <v>148</v>
      </c>
      <c r="B150" s="13"/>
      <c r="C150" s="14"/>
      <c r="D150" s="14"/>
      <c r="E150" s="14"/>
      <c r="F150" s="14"/>
      <c r="G150" s="14"/>
      <c r="H150" s="14"/>
      <c r="I150" s="15"/>
      <c r="J150" s="15"/>
      <c r="K150" s="15"/>
      <c r="L150" s="15"/>
      <c r="M150" s="15"/>
      <c r="N150" s="15"/>
      <c r="O150" s="15"/>
      <c r="P150" s="15"/>
      <c r="Q150" s="15"/>
      <c r="R150" s="16">
        <f>=IF(I150="","",IFERROR(IFERROR(VLOOKUP(I150,Listas!$A$15:$B$20,2,0),0)+IFERROR(VLOOKUP(J150,Listas!$A$24:$B$29,2,0),0)+IFERROR(VLOOKUP(K150,Listas!$A$33:$B$37,2,0),0)+IFERROR(VLOOKUP(L150,Listas!$A$41:$B$44,2,0),0)+IFERROR(VLOOKUP(M150,Listas!$A$48:$B$50,2,0),0)+IFERROR(VLOOKUP(N150,Listas!$A$54:$B$56,2,0),0)+IFERROR(VLOOKUP(O150,Listas!$A$60:$B$62,2,0),0)+IFERROR(VLOOKUP(P150,Listas!$A$66:$B$69,2,0),0)+IFERROR(VLOOKUP(Q150,Listas!$A$73:$B$76,2,0),0),0))</f>
      </c>
      <c r="S150" s="17">
        <f>=IF(I150="","",IF(R150&gt;=80,"Prioritaria",IF(R150&gt;=60,"Recomendada",IF(R150&gt;=40,"Condicional","Lista de espera"))))</f>
      </c>
      <c r="T150" s="18"/>
      <c r="U150" s="14"/>
      <c r="V150" s="14"/>
    </row>
    <row r="151" ht="18" customHeight="1" spans="1:22" x14ac:dyDescent="0.25">
      <c r="A151" s="6">
        <v>149</v>
      </c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9">
        <f>=IF(I151="","",IFERROR(IFERROR(VLOOKUP(I151,Listas!$A$15:$B$20,2,0),0)+IFERROR(VLOOKUP(J151,Listas!$A$24:$B$29,2,0),0)+IFERROR(VLOOKUP(K151,Listas!$A$33:$B$37,2,0),0)+IFERROR(VLOOKUP(L151,Listas!$A$41:$B$44,2,0),0)+IFERROR(VLOOKUP(M151,Listas!$A$48:$B$50,2,0),0)+IFERROR(VLOOKUP(N151,Listas!$A$54:$B$56,2,0),0)+IFERROR(VLOOKUP(O151,Listas!$A$60:$B$62,2,0),0)+IFERROR(VLOOKUP(P151,Listas!$A$66:$B$69,2,0),0)+IFERROR(VLOOKUP(Q151,Listas!$A$73:$B$76,2,0),0),0))</f>
      </c>
      <c r="S151" s="10">
        <f>=IF(I151="","",IF(R151&gt;=80,"Prioritaria",IF(R151&gt;=60,"Recomendada",IF(R151&gt;=40,"Condicional","Lista de espera"))))</f>
      </c>
      <c r="T151" s="11"/>
      <c r="U151" s="8"/>
      <c r="V151" s="8"/>
    </row>
    <row r="152" ht="18" customHeight="1" spans="1:22" x14ac:dyDescent="0.25">
      <c r="A152" s="12">
        <v>150</v>
      </c>
      <c r="B152" s="13"/>
      <c r="C152" s="14"/>
      <c r="D152" s="14"/>
      <c r="E152" s="14"/>
      <c r="F152" s="14"/>
      <c r="G152" s="14"/>
      <c r="H152" s="14"/>
      <c r="I152" s="15"/>
      <c r="J152" s="15"/>
      <c r="K152" s="15"/>
      <c r="L152" s="15"/>
      <c r="M152" s="15"/>
      <c r="N152" s="15"/>
      <c r="O152" s="15"/>
      <c r="P152" s="15"/>
      <c r="Q152" s="15"/>
      <c r="R152" s="16">
        <f>=IF(I152="","",IFERROR(IFERROR(VLOOKUP(I152,Listas!$A$15:$B$20,2,0),0)+IFERROR(VLOOKUP(J152,Listas!$A$24:$B$29,2,0),0)+IFERROR(VLOOKUP(K152,Listas!$A$33:$B$37,2,0),0)+IFERROR(VLOOKUP(L152,Listas!$A$41:$B$44,2,0),0)+IFERROR(VLOOKUP(M152,Listas!$A$48:$B$50,2,0),0)+IFERROR(VLOOKUP(N152,Listas!$A$54:$B$56,2,0),0)+IFERROR(VLOOKUP(O152,Listas!$A$60:$B$62,2,0),0)+IFERROR(VLOOKUP(P152,Listas!$A$66:$B$69,2,0),0)+IFERROR(VLOOKUP(Q152,Listas!$A$73:$B$76,2,0),0),0))</f>
      </c>
      <c r="S152" s="17">
        <f>=IF(I152="","",IF(R152&gt;=80,"Prioritaria",IF(R152&gt;=60,"Recomendada",IF(R152&gt;=40,"Condicional","Lista de espera"))))</f>
      </c>
      <c r="T152" s="18"/>
      <c r="U152" s="14"/>
      <c r="V152" s="14"/>
    </row>
    <row r="153" ht="18" customHeight="1" spans="1:22" x14ac:dyDescent="0.25">
      <c r="A153" s="6">
        <v>151</v>
      </c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9">
        <f>=IF(I153="","",IFERROR(IFERROR(VLOOKUP(I153,Listas!$A$15:$B$20,2,0),0)+IFERROR(VLOOKUP(J153,Listas!$A$24:$B$29,2,0),0)+IFERROR(VLOOKUP(K153,Listas!$A$33:$B$37,2,0),0)+IFERROR(VLOOKUP(L153,Listas!$A$41:$B$44,2,0),0)+IFERROR(VLOOKUP(M153,Listas!$A$48:$B$50,2,0),0)+IFERROR(VLOOKUP(N153,Listas!$A$54:$B$56,2,0),0)+IFERROR(VLOOKUP(O153,Listas!$A$60:$B$62,2,0),0)+IFERROR(VLOOKUP(P153,Listas!$A$66:$B$69,2,0),0)+IFERROR(VLOOKUP(Q153,Listas!$A$73:$B$76,2,0),0),0))</f>
      </c>
      <c r="S153" s="10">
        <f>=IF(I153="","",IF(R153&gt;=80,"Prioritaria",IF(R153&gt;=60,"Recomendada",IF(R153&gt;=40,"Condicional","Lista de espera"))))</f>
      </c>
      <c r="T153" s="11"/>
      <c r="U153" s="8"/>
      <c r="V153" s="8"/>
    </row>
    <row r="154" ht="18" customHeight="1" spans="1:22" x14ac:dyDescent="0.25">
      <c r="A154" s="12">
        <v>152</v>
      </c>
      <c r="B154" s="13"/>
      <c r="C154" s="14"/>
      <c r="D154" s="14"/>
      <c r="E154" s="14"/>
      <c r="F154" s="14"/>
      <c r="G154" s="14"/>
      <c r="H154" s="14"/>
      <c r="I154" s="15"/>
      <c r="J154" s="15"/>
      <c r="K154" s="15"/>
      <c r="L154" s="15"/>
      <c r="M154" s="15"/>
      <c r="N154" s="15"/>
      <c r="O154" s="15"/>
      <c r="P154" s="15"/>
      <c r="Q154" s="15"/>
      <c r="R154" s="16">
        <f>=IF(I154="","",IFERROR(IFERROR(VLOOKUP(I154,Listas!$A$15:$B$20,2,0),0)+IFERROR(VLOOKUP(J154,Listas!$A$24:$B$29,2,0),0)+IFERROR(VLOOKUP(K154,Listas!$A$33:$B$37,2,0),0)+IFERROR(VLOOKUP(L154,Listas!$A$41:$B$44,2,0),0)+IFERROR(VLOOKUP(M154,Listas!$A$48:$B$50,2,0),0)+IFERROR(VLOOKUP(N154,Listas!$A$54:$B$56,2,0),0)+IFERROR(VLOOKUP(O154,Listas!$A$60:$B$62,2,0),0)+IFERROR(VLOOKUP(P154,Listas!$A$66:$B$69,2,0),0)+IFERROR(VLOOKUP(Q154,Listas!$A$73:$B$76,2,0),0),0))</f>
      </c>
      <c r="S154" s="17">
        <f>=IF(I154="","",IF(R154&gt;=80,"Prioritaria",IF(R154&gt;=60,"Recomendada",IF(R154&gt;=40,"Condicional","Lista de espera"))))</f>
      </c>
      <c r="T154" s="18"/>
      <c r="U154" s="14"/>
      <c r="V154" s="14"/>
    </row>
    <row r="155" ht="18" customHeight="1" spans="1:22" x14ac:dyDescent="0.25">
      <c r="A155" s="6">
        <v>153</v>
      </c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9">
        <f>=IF(I155="","",IFERROR(IFERROR(VLOOKUP(I155,Listas!$A$15:$B$20,2,0),0)+IFERROR(VLOOKUP(J155,Listas!$A$24:$B$29,2,0),0)+IFERROR(VLOOKUP(K155,Listas!$A$33:$B$37,2,0),0)+IFERROR(VLOOKUP(L155,Listas!$A$41:$B$44,2,0),0)+IFERROR(VLOOKUP(M155,Listas!$A$48:$B$50,2,0),0)+IFERROR(VLOOKUP(N155,Listas!$A$54:$B$56,2,0),0)+IFERROR(VLOOKUP(O155,Listas!$A$60:$B$62,2,0),0)+IFERROR(VLOOKUP(P155,Listas!$A$66:$B$69,2,0),0)+IFERROR(VLOOKUP(Q155,Listas!$A$73:$B$76,2,0),0),0))</f>
      </c>
      <c r="S155" s="10">
        <f>=IF(I155="","",IF(R155&gt;=80,"Prioritaria",IF(R155&gt;=60,"Recomendada",IF(R155&gt;=40,"Condicional","Lista de espera"))))</f>
      </c>
      <c r="T155" s="11"/>
      <c r="U155" s="8"/>
      <c r="V155" s="8"/>
    </row>
    <row r="156" ht="18" customHeight="1" spans="1:22" x14ac:dyDescent="0.25">
      <c r="A156" s="12">
        <v>154</v>
      </c>
      <c r="B156" s="13"/>
      <c r="C156" s="14"/>
      <c r="D156" s="14"/>
      <c r="E156" s="14"/>
      <c r="F156" s="14"/>
      <c r="G156" s="14"/>
      <c r="H156" s="14"/>
      <c r="I156" s="15"/>
      <c r="J156" s="15"/>
      <c r="K156" s="15"/>
      <c r="L156" s="15"/>
      <c r="M156" s="15"/>
      <c r="N156" s="15"/>
      <c r="O156" s="15"/>
      <c r="P156" s="15"/>
      <c r="Q156" s="15"/>
      <c r="R156" s="16">
        <f>=IF(I156="","",IFERROR(IFERROR(VLOOKUP(I156,Listas!$A$15:$B$20,2,0),0)+IFERROR(VLOOKUP(J156,Listas!$A$24:$B$29,2,0),0)+IFERROR(VLOOKUP(K156,Listas!$A$33:$B$37,2,0),0)+IFERROR(VLOOKUP(L156,Listas!$A$41:$B$44,2,0),0)+IFERROR(VLOOKUP(M156,Listas!$A$48:$B$50,2,0),0)+IFERROR(VLOOKUP(N156,Listas!$A$54:$B$56,2,0),0)+IFERROR(VLOOKUP(O156,Listas!$A$60:$B$62,2,0),0)+IFERROR(VLOOKUP(P156,Listas!$A$66:$B$69,2,0),0)+IFERROR(VLOOKUP(Q156,Listas!$A$73:$B$76,2,0),0),0))</f>
      </c>
      <c r="S156" s="17">
        <f>=IF(I156="","",IF(R156&gt;=80,"Prioritaria",IF(R156&gt;=60,"Recomendada",IF(R156&gt;=40,"Condicional","Lista de espera"))))</f>
      </c>
      <c r="T156" s="18"/>
      <c r="U156" s="14"/>
      <c r="V156" s="14"/>
    </row>
    <row r="157" ht="18" customHeight="1" spans="1:22" x14ac:dyDescent="0.25">
      <c r="A157" s="6">
        <v>155</v>
      </c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9">
        <f>=IF(I157="","",IFERROR(IFERROR(VLOOKUP(I157,Listas!$A$15:$B$20,2,0),0)+IFERROR(VLOOKUP(J157,Listas!$A$24:$B$29,2,0),0)+IFERROR(VLOOKUP(K157,Listas!$A$33:$B$37,2,0),0)+IFERROR(VLOOKUP(L157,Listas!$A$41:$B$44,2,0),0)+IFERROR(VLOOKUP(M157,Listas!$A$48:$B$50,2,0),0)+IFERROR(VLOOKUP(N157,Listas!$A$54:$B$56,2,0),0)+IFERROR(VLOOKUP(O157,Listas!$A$60:$B$62,2,0),0)+IFERROR(VLOOKUP(P157,Listas!$A$66:$B$69,2,0),0)+IFERROR(VLOOKUP(Q157,Listas!$A$73:$B$76,2,0),0),0))</f>
      </c>
      <c r="S157" s="10">
        <f>=IF(I157="","",IF(R157&gt;=80,"Prioritaria",IF(R157&gt;=60,"Recomendada",IF(R157&gt;=40,"Condicional","Lista de espera"))))</f>
      </c>
      <c r="T157" s="11"/>
      <c r="U157" s="8"/>
      <c r="V157" s="8"/>
    </row>
    <row r="158" ht="18" customHeight="1" spans="1:22" x14ac:dyDescent="0.25">
      <c r="A158" s="12">
        <v>156</v>
      </c>
      <c r="B158" s="13"/>
      <c r="C158" s="14"/>
      <c r="D158" s="14"/>
      <c r="E158" s="14"/>
      <c r="F158" s="14"/>
      <c r="G158" s="14"/>
      <c r="H158" s="14"/>
      <c r="I158" s="15"/>
      <c r="J158" s="15"/>
      <c r="K158" s="15"/>
      <c r="L158" s="15"/>
      <c r="M158" s="15"/>
      <c r="N158" s="15"/>
      <c r="O158" s="15"/>
      <c r="P158" s="15"/>
      <c r="Q158" s="15"/>
      <c r="R158" s="16">
        <f>=IF(I158="","",IFERROR(IFERROR(VLOOKUP(I158,Listas!$A$15:$B$20,2,0),0)+IFERROR(VLOOKUP(J158,Listas!$A$24:$B$29,2,0),0)+IFERROR(VLOOKUP(K158,Listas!$A$33:$B$37,2,0),0)+IFERROR(VLOOKUP(L158,Listas!$A$41:$B$44,2,0),0)+IFERROR(VLOOKUP(M158,Listas!$A$48:$B$50,2,0),0)+IFERROR(VLOOKUP(N158,Listas!$A$54:$B$56,2,0),0)+IFERROR(VLOOKUP(O158,Listas!$A$60:$B$62,2,0),0)+IFERROR(VLOOKUP(P158,Listas!$A$66:$B$69,2,0),0)+IFERROR(VLOOKUP(Q158,Listas!$A$73:$B$76,2,0),0),0))</f>
      </c>
      <c r="S158" s="17">
        <f>=IF(I158="","",IF(R158&gt;=80,"Prioritaria",IF(R158&gt;=60,"Recomendada",IF(R158&gt;=40,"Condicional","Lista de espera"))))</f>
      </c>
      <c r="T158" s="18"/>
      <c r="U158" s="14"/>
      <c r="V158" s="14"/>
    </row>
    <row r="159" ht="18" customHeight="1" spans="1:22" x14ac:dyDescent="0.25">
      <c r="A159" s="6">
        <v>157</v>
      </c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>
        <f>=IF(I159="","",IFERROR(IFERROR(VLOOKUP(I159,Listas!$A$15:$B$20,2,0),0)+IFERROR(VLOOKUP(J159,Listas!$A$24:$B$29,2,0),0)+IFERROR(VLOOKUP(K159,Listas!$A$33:$B$37,2,0),0)+IFERROR(VLOOKUP(L159,Listas!$A$41:$B$44,2,0),0)+IFERROR(VLOOKUP(M159,Listas!$A$48:$B$50,2,0),0)+IFERROR(VLOOKUP(N159,Listas!$A$54:$B$56,2,0),0)+IFERROR(VLOOKUP(O159,Listas!$A$60:$B$62,2,0),0)+IFERROR(VLOOKUP(P159,Listas!$A$66:$B$69,2,0),0)+IFERROR(VLOOKUP(Q159,Listas!$A$73:$B$76,2,0),0),0))</f>
      </c>
      <c r="S159" s="10">
        <f>=IF(I159="","",IF(R159&gt;=80,"Prioritaria",IF(R159&gt;=60,"Recomendada",IF(R159&gt;=40,"Condicional","Lista de espera"))))</f>
      </c>
      <c r="T159" s="11"/>
      <c r="U159" s="8"/>
      <c r="V159" s="8"/>
    </row>
    <row r="160" ht="18" customHeight="1" spans="1:22" x14ac:dyDescent="0.25">
      <c r="A160" s="12">
        <v>158</v>
      </c>
      <c r="B160" s="13"/>
      <c r="C160" s="14"/>
      <c r="D160" s="14"/>
      <c r="E160" s="14"/>
      <c r="F160" s="14"/>
      <c r="G160" s="14"/>
      <c r="H160" s="14"/>
      <c r="I160" s="15"/>
      <c r="J160" s="15"/>
      <c r="K160" s="15"/>
      <c r="L160" s="15"/>
      <c r="M160" s="15"/>
      <c r="N160" s="15"/>
      <c r="O160" s="15"/>
      <c r="P160" s="15"/>
      <c r="Q160" s="15"/>
      <c r="R160" s="16">
        <f>=IF(I160="","",IFERROR(IFERROR(VLOOKUP(I160,Listas!$A$15:$B$20,2,0),0)+IFERROR(VLOOKUP(J160,Listas!$A$24:$B$29,2,0),0)+IFERROR(VLOOKUP(K160,Listas!$A$33:$B$37,2,0),0)+IFERROR(VLOOKUP(L160,Listas!$A$41:$B$44,2,0),0)+IFERROR(VLOOKUP(M160,Listas!$A$48:$B$50,2,0),0)+IFERROR(VLOOKUP(N160,Listas!$A$54:$B$56,2,0),0)+IFERROR(VLOOKUP(O160,Listas!$A$60:$B$62,2,0),0)+IFERROR(VLOOKUP(P160,Listas!$A$66:$B$69,2,0),0)+IFERROR(VLOOKUP(Q160,Listas!$A$73:$B$76,2,0),0),0))</f>
      </c>
      <c r="S160" s="17">
        <f>=IF(I160="","",IF(R160&gt;=80,"Prioritaria",IF(R160&gt;=60,"Recomendada",IF(R160&gt;=40,"Condicional","Lista de espera"))))</f>
      </c>
      <c r="T160" s="18"/>
      <c r="U160" s="14"/>
      <c r="V160" s="14"/>
    </row>
    <row r="161" ht="18" customHeight="1" spans="1:22" x14ac:dyDescent="0.25">
      <c r="A161" s="6">
        <v>159</v>
      </c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>
        <f>=IF(I161="","",IFERROR(IFERROR(VLOOKUP(I161,Listas!$A$15:$B$20,2,0),0)+IFERROR(VLOOKUP(J161,Listas!$A$24:$B$29,2,0),0)+IFERROR(VLOOKUP(K161,Listas!$A$33:$B$37,2,0),0)+IFERROR(VLOOKUP(L161,Listas!$A$41:$B$44,2,0),0)+IFERROR(VLOOKUP(M161,Listas!$A$48:$B$50,2,0),0)+IFERROR(VLOOKUP(N161,Listas!$A$54:$B$56,2,0),0)+IFERROR(VLOOKUP(O161,Listas!$A$60:$B$62,2,0),0)+IFERROR(VLOOKUP(P161,Listas!$A$66:$B$69,2,0),0)+IFERROR(VLOOKUP(Q161,Listas!$A$73:$B$76,2,0),0),0))</f>
      </c>
      <c r="S161" s="10">
        <f>=IF(I161="","",IF(R161&gt;=80,"Prioritaria",IF(R161&gt;=60,"Recomendada",IF(R161&gt;=40,"Condicional","Lista de espera"))))</f>
      </c>
      <c r="T161" s="11"/>
      <c r="U161" s="8"/>
      <c r="V161" s="8"/>
    </row>
    <row r="162" ht="18" customHeight="1" spans="1:22" x14ac:dyDescent="0.25">
      <c r="A162" s="12">
        <v>160</v>
      </c>
      <c r="B162" s="13"/>
      <c r="C162" s="14"/>
      <c r="D162" s="14"/>
      <c r="E162" s="14"/>
      <c r="F162" s="14"/>
      <c r="G162" s="14"/>
      <c r="H162" s="14"/>
      <c r="I162" s="15"/>
      <c r="J162" s="15"/>
      <c r="K162" s="15"/>
      <c r="L162" s="15"/>
      <c r="M162" s="15"/>
      <c r="N162" s="15"/>
      <c r="O162" s="15"/>
      <c r="P162" s="15"/>
      <c r="Q162" s="15"/>
      <c r="R162" s="16">
        <f>=IF(I162="","",IFERROR(IFERROR(VLOOKUP(I162,Listas!$A$15:$B$20,2,0),0)+IFERROR(VLOOKUP(J162,Listas!$A$24:$B$29,2,0),0)+IFERROR(VLOOKUP(K162,Listas!$A$33:$B$37,2,0),0)+IFERROR(VLOOKUP(L162,Listas!$A$41:$B$44,2,0),0)+IFERROR(VLOOKUP(M162,Listas!$A$48:$B$50,2,0),0)+IFERROR(VLOOKUP(N162,Listas!$A$54:$B$56,2,0),0)+IFERROR(VLOOKUP(O162,Listas!$A$60:$B$62,2,0),0)+IFERROR(VLOOKUP(P162,Listas!$A$66:$B$69,2,0),0)+IFERROR(VLOOKUP(Q162,Listas!$A$73:$B$76,2,0),0),0))</f>
      </c>
      <c r="S162" s="17">
        <f>=IF(I162="","",IF(R162&gt;=80,"Prioritaria",IF(R162&gt;=60,"Recomendada",IF(R162&gt;=40,"Condicional","Lista de espera"))))</f>
      </c>
      <c r="T162" s="18"/>
      <c r="U162" s="14"/>
      <c r="V162" s="14"/>
    </row>
    <row r="163" ht="18" customHeight="1" spans="1:22" x14ac:dyDescent="0.25">
      <c r="A163" s="6">
        <v>161</v>
      </c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9">
        <f>=IF(I163="","",IFERROR(IFERROR(VLOOKUP(I163,Listas!$A$15:$B$20,2,0),0)+IFERROR(VLOOKUP(J163,Listas!$A$24:$B$29,2,0),0)+IFERROR(VLOOKUP(K163,Listas!$A$33:$B$37,2,0),0)+IFERROR(VLOOKUP(L163,Listas!$A$41:$B$44,2,0),0)+IFERROR(VLOOKUP(M163,Listas!$A$48:$B$50,2,0),0)+IFERROR(VLOOKUP(N163,Listas!$A$54:$B$56,2,0),0)+IFERROR(VLOOKUP(O163,Listas!$A$60:$B$62,2,0),0)+IFERROR(VLOOKUP(P163,Listas!$A$66:$B$69,2,0),0)+IFERROR(VLOOKUP(Q163,Listas!$A$73:$B$76,2,0),0),0))</f>
      </c>
      <c r="S163" s="10">
        <f>=IF(I163="","",IF(R163&gt;=80,"Prioritaria",IF(R163&gt;=60,"Recomendada",IF(R163&gt;=40,"Condicional","Lista de espera"))))</f>
      </c>
      <c r="T163" s="11"/>
      <c r="U163" s="8"/>
      <c r="V163" s="8"/>
    </row>
    <row r="164" ht="18" customHeight="1" spans="1:22" x14ac:dyDescent="0.25">
      <c r="A164" s="12">
        <v>162</v>
      </c>
      <c r="B164" s="13"/>
      <c r="C164" s="14"/>
      <c r="D164" s="14"/>
      <c r="E164" s="14"/>
      <c r="F164" s="14"/>
      <c r="G164" s="14"/>
      <c r="H164" s="14"/>
      <c r="I164" s="15"/>
      <c r="J164" s="15"/>
      <c r="K164" s="15"/>
      <c r="L164" s="15"/>
      <c r="M164" s="15"/>
      <c r="N164" s="15"/>
      <c r="O164" s="15"/>
      <c r="P164" s="15"/>
      <c r="Q164" s="15"/>
      <c r="R164" s="16">
        <f>=IF(I164="","",IFERROR(IFERROR(VLOOKUP(I164,Listas!$A$15:$B$20,2,0),0)+IFERROR(VLOOKUP(J164,Listas!$A$24:$B$29,2,0),0)+IFERROR(VLOOKUP(K164,Listas!$A$33:$B$37,2,0),0)+IFERROR(VLOOKUP(L164,Listas!$A$41:$B$44,2,0),0)+IFERROR(VLOOKUP(M164,Listas!$A$48:$B$50,2,0),0)+IFERROR(VLOOKUP(N164,Listas!$A$54:$B$56,2,0),0)+IFERROR(VLOOKUP(O164,Listas!$A$60:$B$62,2,0),0)+IFERROR(VLOOKUP(P164,Listas!$A$66:$B$69,2,0),0)+IFERROR(VLOOKUP(Q164,Listas!$A$73:$B$76,2,0),0),0))</f>
      </c>
      <c r="S164" s="17">
        <f>=IF(I164="","",IF(R164&gt;=80,"Prioritaria",IF(R164&gt;=60,"Recomendada",IF(R164&gt;=40,"Condicional","Lista de espera"))))</f>
      </c>
      <c r="T164" s="18"/>
      <c r="U164" s="14"/>
      <c r="V164" s="14"/>
    </row>
    <row r="165" ht="18" customHeight="1" spans="1:22" x14ac:dyDescent="0.25">
      <c r="A165" s="6">
        <v>163</v>
      </c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9">
        <f>=IF(I165="","",IFERROR(IFERROR(VLOOKUP(I165,Listas!$A$15:$B$20,2,0),0)+IFERROR(VLOOKUP(J165,Listas!$A$24:$B$29,2,0),0)+IFERROR(VLOOKUP(K165,Listas!$A$33:$B$37,2,0),0)+IFERROR(VLOOKUP(L165,Listas!$A$41:$B$44,2,0),0)+IFERROR(VLOOKUP(M165,Listas!$A$48:$B$50,2,0),0)+IFERROR(VLOOKUP(N165,Listas!$A$54:$B$56,2,0),0)+IFERROR(VLOOKUP(O165,Listas!$A$60:$B$62,2,0),0)+IFERROR(VLOOKUP(P165,Listas!$A$66:$B$69,2,0),0)+IFERROR(VLOOKUP(Q165,Listas!$A$73:$B$76,2,0),0),0))</f>
      </c>
      <c r="S165" s="10">
        <f>=IF(I165="","",IF(R165&gt;=80,"Prioritaria",IF(R165&gt;=60,"Recomendada",IF(R165&gt;=40,"Condicional","Lista de espera"))))</f>
      </c>
      <c r="T165" s="11"/>
      <c r="U165" s="8"/>
      <c r="V165" s="8"/>
    </row>
    <row r="166" ht="18" customHeight="1" spans="1:22" x14ac:dyDescent="0.25">
      <c r="A166" s="12">
        <v>164</v>
      </c>
      <c r="B166" s="13"/>
      <c r="C166" s="14"/>
      <c r="D166" s="14"/>
      <c r="E166" s="14"/>
      <c r="F166" s="14"/>
      <c r="G166" s="14"/>
      <c r="H166" s="14"/>
      <c r="I166" s="15"/>
      <c r="J166" s="15"/>
      <c r="K166" s="15"/>
      <c r="L166" s="15"/>
      <c r="M166" s="15"/>
      <c r="N166" s="15"/>
      <c r="O166" s="15"/>
      <c r="P166" s="15"/>
      <c r="Q166" s="15"/>
      <c r="R166" s="16">
        <f>=IF(I166="","",IFERROR(IFERROR(VLOOKUP(I166,Listas!$A$15:$B$20,2,0),0)+IFERROR(VLOOKUP(J166,Listas!$A$24:$B$29,2,0),0)+IFERROR(VLOOKUP(K166,Listas!$A$33:$B$37,2,0),0)+IFERROR(VLOOKUP(L166,Listas!$A$41:$B$44,2,0),0)+IFERROR(VLOOKUP(M166,Listas!$A$48:$B$50,2,0),0)+IFERROR(VLOOKUP(N166,Listas!$A$54:$B$56,2,0),0)+IFERROR(VLOOKUP(O166,Listas!$A$60:$B$62,2,0),0)+IFERROR(VLOOKUP(P166,Listas!$A$66:$B$69,2,0),0)+IFERROR(VLOOKUP(Q166,Listas!$A$73:$B$76,2,0),0),0))</f>
      </c>
      <c r="S166" s="17">
        <f>=IF(I166="","",IF(R166&gt;=80,"Prioritaria",IF(R166&gt;=60,"Recomendada",IF(R166&gt;=40,"Condicional","Lista de espera"))))</f>
      </c>
      <c r="T166" s="18"/>
      <c r="U166" s="14"/>
      <c r="V166" s="14"/>
    </row>
    <row r="167" ht="18" customHeight="1" spans="1:22" x14ac:dyDescent="0.25">
      <c r="A167" s="6">
        <v>165</v>
      </c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9">
        <f>=IF(I167="","",IFERROR(IFERROR(VLOOKUP(I167,Listas!$A$15:$B$20,2,0),0)+IFERROR(VLOOKUP(J167,Listas!$A$24:$B$29,2,0),0)+IFERROR(VLOOKUP(K167,Listas!$A$33:$B$37,2,0),0)+IFERROR(VLOOKUP(L167,Listas!$A$41:$B$44,2,0),0)+IFERROR(VLOOKUP(M167,Listas!$A$48:$B$50,2,0),0)+IFERROR(VLOOKUP(N167,Listas!$A$54:$B$56,2,0),0)+IFERROR(VLOOKUP(O167,Listas!$A$60:$B$62,2,0),0)+IFERROR(VLOOKUP(P167,Listas!$A$66:$B$69,2,0),0)+IFERROR(VLOOKUP(Q167,Listas!$A$73:$B$76,2,0),0),0))</f>
      </c>
      <c r="S167" s="10">
        <f>=IF(I167="","",IF(R167&gt;=80,"Prioritaria",IF(R167&gt;=60,"Recomendada",IF(R167&gt;=40,"Condicional","Lista de espera"))))</f>
      </c>
      <c r="T167" s="11"/>
      <c r="U167" s="8"/>
      <c r="V167" s="8"/>
    </row>
    <row r="168" ht="18" customHeight="1" spans="1:22" x14ac:dyDescent="0.25">
      <c r="A168" s="12">
        <v>166</v>
      </c>
      <c r="B168" s="13"/>
      <c r="C168" s="14"/>
      <c r="D168" s="14"/>
      <c r="E168" s="14"/>
      <c r="F168" s="14"/>
      <c r="G168" s="14"/>
      <c r="H168" s="14"/>
      <c r="I168" s="15"/>
      <c r="J168" s="15"/>
      <c r="K168" s="15"/>
      <c r="L168" s="15"/>
      <c r="M168" s="15"/>
      <c r="N168" s="15"/>
      <c r="O168" s="15"/>
      <c r="P168" s="15"/>
      <c r="Q168" s="15"/>
      <c r="R168" s="16">
        <f>=IF(I168="","",IFERROR(IFERROR(VLOOKUP(I168,Listas!$A$15:$B$20,2,0),0)+IFERROR(VLOOKUP(J168,Listas!$A$24:$B$29,2,0),0)+IFERROR(VLOOKUP(K168,Listas!$A$33:$B$37,2,0),0)+IFERROR(VLOOKUP(L168,Listas!$A$41:$B$44,2,0),0)+IFERROR(VLOOKUP(M168,Listas!$A$48:$B$50,2,0),0)+IFERROR(VLOOKUP(N168,Listas!$A$54:$B$56,2,0),0)+IFERROR(VLOOKUP(O168,Listas!$A$60:$B$62,2,0),0)+IFERROR(VLOOKUP(P168,Listas!$A$66:$B$69,2,0),0)+IFERROR(VLOOKUP(Q168,Listas!$A$73:$B$76,2,0),0),0))</f>
      </c>
      <c r="S168" s="17">
        <f>=IF(I168="","",IF(R168&gt;=80,"Prioritaria",IF(R168&gt;=60,"Recomendada",IF(R168&gt;=40,"Condicional","Lista de espera"))))</f>
      </c>
      <c r="T168" s="18"/>
      <c r="U168" s="14"/>
      <c r="V168" s="14"/>
    </row>
    <row r="169" ht="18" customHeight="1" spans="1:22" x14ac:dyDescent="0.25">
      <c r="A169" s="6">
        <v>167</v>
      </c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9">
        <f>=IF(I169="","",IFERROR(IFERROR(VLOOKUP(I169,Listas!$A$15:$B$20,2,0),0)+IFERROR(VLOOKUP(J169,Listas!$A$24:$B$29,2,0),0)+IFERROR(VLOOKUP(K169,Listas!$A$33:$B$37,2,0),0)+IFERROR(VLOOKUP(L169,Listas!$A$41:$B$44,2,0),0)+IFERROR(VLOOKUP(M169,Listas!$A$48:$B$50,2,0),0)+IFERROR(VLOOKUP(N169,Listas!$A$54:$B$56,2,0),0)+IFERROR(VLOOKUP(O169,Listas!$A$60:$B$62,2,0),0)+IFERROR(VLOOKUP(P169,Listas!$A$66:$B$69,2,0),0)+IFERROR(VLOOKUP(Q169,Listas!$A$73:$B$76,2,0),0),0))</f>
      </c>
      <c r="S169" s="10">
        <f>=IF(I169="","",IF(R169&gt;=80,"Prioritaria",IF(R169&gt;=60,"Recomendada",IF(R169&gt;=40,"Condicional","Lista de espera"))))</f>
      </c>
      <c r="T169" s="11"/>
      <c r="U169" s="8"/>
      <c r="V169" s="8"/>
    </row>
    <row r="170" ht="18" customHeight="1" spans="1:22" x14ac:dyDescent="0.25">
      <c r="A170" s="12">
        <v>168</v>
      </c>
      <c r="B170" s="13"/>
      <c r="C170" s="14"/>
      <c r="D170" s="14"/>
      <c r="E170" s="14"/>
      <c r="F170" s="14"/>
      <c r="G170" s="14"/>
      <c r="H170" s="14"/>
      <c r="I170" s="15"/>
      <c r="J170" s="15"/>
      <c r="K170" s="15"/>
      <c r="L170" s="15"/>
      <c r="M170" s="15"/>
      <c r="N170" s="15"/>
      <c r="O170" s="15"/>
      <c r="P170" s="15"/>
      <c r="Q170" s="15"/>
      <c r="R170" s="16">
        <f>=IF(I170="","",IFERROR(IFERROR(VLOOKUP(I170,Listas!$A$15:$B$20,2,0),0)+IFERROR(VLOOKUP(J170,Listas!$A$24:$B$29,2,0),0)+IFERROR(VLOOKUP(K170,Listas!$A$33:$B$37,2,0),0)+IFERROR(VLOOKUP(L170,Listas!$A$41:$B$44,2,0),0)+IFERROR(VLOOKUP(M170,Listas!$A$48:$B$50,2,0),0)+IFERROR(VLOOKUP(N170,Listas!$A$54:$B$56,2,0),0)+IFERROR(VLOOKUP(O170,Listas!$A$60:$B$62,2,0),0)+IFERROR(VLOOKUP(P170,Listas!$A$66:$B$69,2,0),0)+IFERROR(VLOOKUP(Q170,Listas!$A$73:$B$76,2,0),0),0))</f>
      </c>
      <c r="S170" s="17">
        <f>=IF(I170="","",IF(R170&gt;=80,"Prioritaria",IF(R170&gt;=60,"Recomendada",IF(R170&gt;=40,"Condicional","Lista de espera"))))</f>
      </c>
      <c r="T170" s="18"/>
      <c r="U170" s="14"/>
      <c r="V170" s="14"/>
    </row>
    <row r="171" ht="18" customHeight="1" spans="1:22" x14ac:dyDescent="0.25">
      <c r="A171" s="6">
        <v>169</v>
      </c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9">
        <f>=IF(I171="","",IFERROR(IFERROR(VLOOKUP(I171,Listas!$A$15:$B$20,2,0),0)+IFERROR(VLOOKUP(J171,Listas!$A$24:$B$29,2,0),0)+IFERROR(VLOOKUP(K171,Listas!$A$33:$B$37,2,0),0)+IFERROR(VLOOKUP(L171,Listas!$A$41:$B$44,2,0),0)+IFERROR(VLOOKUP(M171,Listas!$A$48:$B$50,2,0),0)+IFERROR(VLOOKUP(N171,Listas!$A$54:$B$56,2,0),0)+IFERROR(VLOOKUP(O171,Listas!$A$60:$B$62,2,0),0)+IFERROR(VLOOKUP(P171,Listas!$A$66:$B$69,2,0),0)+IFERROR(VLOOKUP(Q171,Listas!$A$73:$B$76,2,0),0),0))</f>
      </c>
      <c r="S171" s="10">
        <f>=IF(I171="","",IF(R171&gt;=80,"Prioritaria",IF(R171&gt;=60,"Recomendada",IF(R171&gt;=40,"Condicional","Lista de espera"))))</f>
      </c>
      <c r="T171" s="11"/>
      <c r="U171" s="8"/>
      <c r="V171" s="8"/>
    </row>
    <row r="172" ht="18" customHeight="1" spans="1:22" x14ac:dyDescent="0.25">
      <c r="A172" s="12">
        <v>170</v>
      </c>
      <c r="B172" s="13"/>
      <c r="C172" s="14"/>
      <c r="D172" s="14"/>
      <c r="E172" s="14"/>
      <c r="F172" s="14"/>
      <c r="G172" s="14"/>
      <c r="H172" s="14"/>
      <c r="I172" s="15"/>
      <c r="J172" s="15"/>
      <c r="K172" s="15"/>
      <c r="L172" s="15"/>
      <c r="M172" s="15"/>
      <c r="N172" s="15"/>
      <c r="O172" s="15"/>
      <c r="P172" s="15"/>
      <c r="Q172" s="15"/>
      <c r="R172" s="16">
        <f>=IF(I172="","",IFERROR(IFERROR(VLOOKUP(I172,Listas!$A$15:$B$20,2,0),0)+IFERROR(VLOOKUP(J172,Listas!$A$24:$B$29,2,0),0)+IFERROR(VLOOKUP(K172,Listas!$A$33:$B$37,2,0),0)+IFERROR(VLOOKUP(L172,Listas!$A$41:$B$44,2,0),0)+IFERROR(VLOOKUP(M172,Listas!$A$48:$B$50,2,0),0)+IFERROR(VLOOKUP(N172,Listas!$A$54:$B$56,2,0),0)+IFERROR(VLOOKUP(O172,Listas!$A$60:$B$62,2,0),0)+IFERROR(VLOOKUP(P172,Listas!$A$66:$B$69,2,0),0)+IFERROR(VLOOKUP(Q172,Listas!$A$73:$B$76,2,0),0),0))</f>
      </c>
      <c r="S172" s="17">
        <f>=IF(I172="","",IF(R172&gt;=80,"Prioritaria",IF(R172&gt;=60,"Recomendada",IF(R172&gt;=40,"Condicional","Lista de espera"))))</f>
      </c>
      <c r="T172" s="18"/>
      <c r="U172" s="14"/>
      <c r="V172" s="14"/>
    </row>
    <row r="173" ht="18" customHeight="1" spans="1:22" x14ac:dyDescent="0.25">
      <c r="A173" s="6">
        <v>171</v>
      </c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>
        <f>=IF(I173="","",IFERROR(IFERROR(VLOOKUP(I173,Listas!$A$15:$B$20,2,0),0)+IFERROR(VLOOKUP(J173,Listas!$A$24:$B$29,2,0),0)+IFERROR(VLOOKUP(K173,Listas!$A$33:$B$37,2,0),0)+IFERROR(VLOOKUP(L173,Listas!$A$41:$B$44,2,0),0)+IFERROR(VLOOKUP(M173,Listas!$A$48:$B$50,2,0),0)+IFERROR(VLOOKUP(N173,Listas!$A$54:$B$56,2,0),0)+IFERROR(VLOOKUP(O173,Listas!$A$60:$B$62,2,0),0)+IFERROR(VLOOKUP(P173,Listas!$A$66:$B$69,2,0),0)+IFERROR(VLOOKUP(Q173,Listas!$A$73:$B$76,2,0),0),0))</f>
      </c>
      <c r="S173" s="10">
        <f>=IF(I173="","",IF(R173&gt;=80,"Prioritaria",IF(R173&gt;=60,"Recomendada",IF(R173&gt;=40,"Condicional","Lista de espera"))))</f>
      </c>
      <c r="T173" s="11"/>
      <c r="U173" s="8"/>
      <c r="V173" s="8"/>
    </row>
    <row r="174" ht="18" customHeight="1" spans="1:22" x14ac:dyDescent="0.25">
      <c r="A174" s="12">
        <v>172</v>
      </c>
      <c r="B174" s="13"/>
      <c r="C174" s="14"/>
      <c r="D174" s="14"/>
      <c r="E174" s="14"/>
      <c r="F174" s="14"/>
      <c r="G174" s="14"/>
      <c r="H174" s="14"/>
      <c r="I174" s="15"/>
      <c r="J174" s="15"/>
      <c r="K174" s="15"/>
      <c r="L174" s="15"/>
      <c r="M174" s="15"/>
      <c r="N174" s="15"/>
      <c r="O174" s="15"/>
      <c r="P174" s="15"/>
      <c r="Q174" s="15"/>
      <c r="R174" s="16">
        <f>=IF(I174="","",IFERROR(IFERROR(VLOOKUP(I174,Listas!$A$15:$B$20,2,0),0)+IFERROR(VLOOKUP(J174,Listas!$A$24:$B$29,2,0),0)+IFERROR(VLOOKUP(K174,Listas!$A$33:$B$37,2,0),0)+IFERROR(VLOOKUP(L174,Listas!$A$41:$B$44,2,0),0)+IFERROR(VLOOKUP(M174,Listas!$A$48:$B$50,2,0),0)+IFERROR(VLOOKUP(N174,Listas!$A$54:$B$56,2,0),0)+IFERROR(VLOOKUP(O174,Listas!$A$60:$B$62,2,0),0)+IFERROR(VLOOKUP(P174,Listas!$A$66:$B$69,2,0),0)+IFERROR(VLOOKUP(Q174,Listas!$A$73:$B$76,2,0),0),0))</f>
      </c>
      <c r="S174" s="17">
        <f>=IF(I174="","",IF(R174&gt;=80,"Prioritaria",IF(R174&gt;=60,"Recomendada",IF(R174&gt;=40,"Condicional","Lista de espera"))))</f>
      </c>
      <c r="T174" s="18"/>
      <c r="U174" s="14"/>
      <c r="V174" s="14"/>
    </row>
    <row r="175" ht="18" customHeight="1" spans="1:22" x14ac:dyDescent="0.25">
      <c r="A175" s="6">
        <v>173</v>
      </c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9">
        <f>=IF(I175="","",IFERROR(IFERROR(VLOOKUP(I175,Listas!$A$15:$B$20,2,0),0)+IFERROR(VLOOKUP(J175,Listas!$A$24:$B$29,2,0),0)+IFERROR(VLOOKUP(K175,Listas!$A$33:$B$37,2,0),0)+IFERROR(VLOOKUP(L175,Listas!$A$41:$B$44,2,0),0)+IFERROR(VLOOKUP(M175,Listas!$A$48:$B$50,2,0),0)+IFERROR(VLOOKUP(N175,Listas!$A$54:$B$56,2,0),0)+IFERROR(VLOOKUP(O175,Listas!$A$60:$B$62,2,0),0)+IFERROR(VLOOKUP(P175,Listas!$A$66:$B$69,2,0),0)+IFERROR(VLOOKUP(Q175,Listas!$A$73:$B$76,2,0),0),0))</f>
      </c>
      <c r="S175" s="10">
        <f>=IF(I175="","",IF(R175&gt;=80,"Prioritaria",IF(R175&gt;=60,"Recomendada",IF(R175&gt;=40,"Condicional","Lista de espera"))))</f>
      </c>
      <c r="T175" s="11"/>
      <c r="U175" s="8"/>
      <c r="V175" s="8"/>
    </row>
    <row r="176" ht="18" customHeight="1" spans="1:22" x14ac:dyDescent="0.25">
      <c r="A176" s="12">
        <v>174</v>
      </c>
      <c r="B176" s="13"/>
      <c r="C176" s="14"/>
      <c r="D176" s="14"/>
      <c r="E176" s="14"/>
      <c r="F176" s="14"/>
      <c r="G176" s="14"/>
      <c r="H176" s="14"/>
      <c r="I176" s="15"/>
      <c r="J176" s="15"/>
      <c r="K176" s="15"/>
      <c r="L176" s="15"/>
      <c r="M176" s="15"/>
      <c r="N176" s="15"/>
      <c r="O176" s="15"/>
      <c r="P176" s="15"/>
      <c r="Q176" s="15"/>
      <c r="R176" s="16">
        <f>=IF(I176="","",IFERROR(IFERROR(VLOOKUP(I176,Listas!$A$15:$B$20,2,0),0)+IFERROR(VLOOKUP(J176,Listas!$A$24:$B$29,2,0),0)+IFERROR(VLOOKUP(K176,Listas!$A$33:$B$37,2,0),0)+IFERROR(VLOOKUP(L176,Listas!$A$41:$B$44,2,0),0)+IFERROR(VLOOKUP(M176,Listas!$A$48:$B$50,2,0),0)+IFERROR(VLOOKUP(N176,Listas!$A$54:$B$56,2,0),0)+IFERROR(VLOOKUP(O176,Listas!$A$60:$B$62,2,0),0)+IFERROR(VLOOKUP(P176,Listas!$A$66:$B$69,2,0),0)+IFERROR(VLOOKUP(Q176,Listas!$A$73:$B$76,2,0),0),0))</f>
      </c>
      <c r="S176" s="17">
        <f>=IF(I176="","",IF(R176&gt;=80,"Prioritaria",IF(R176&gt;=60,"Recomendada",IF(R176&gt;=40,"Condicional","Lista de espera"))))</f>
      </c>
      <c r="T176" s="18"/>
      <c r="U176" s="14"/>
      <c r="V176" s="14"/>
    </row>
    <row r="177" ht="18" customHeight="1" spans="1:22" x14ac:dyDescent="0.25">
      <c r="A177" s="6">
        <v>175</v>
      </c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9">
        <f>=IF(I177="","",IFERROR(IFERROR(VLOOKUP(I177,Listas!$A$15:$B$20,2,0),0)+IFERROR(VLOOKUP(J177,Listas!$A$24:$B$29,2,0),0)+IFERROR(VLOOKUP(K177,Listas!$A$33:$B$37,2,0),0)+IFERROR(VLOOKUP(L177,Listas!$A$41:$B$44,2,0),0)+IFERROR(VLOOKUP(M177,Listas!$A$48:$B$50,2,0),0)+IFERROR(VLOOKUP(N177,Listas!$A$54:$B$56,2,0),0)+IFERROR(VLOOKUP(O177,Listas!$A$60:$B$62,2,0),0)+IFERROR(VLOOKUP(P177,Listas!$A$66:$B$69,2,0),0)+IFERROR(VLOOKUP(Q177,Listas!$A$73:$B$76,2,0),0),0))</f>
      </c>
      <c r="S177" s="10">
        <f>=IF(I177="","",IF(R177&gt;=80,"Prioritaria",IF(R177&gt;=60,"Recomendada",IF(R177&gt;=40,"Condicional","Lista de espera"))))</f>
      </c>
      <c r="T177" s="11"/>
      <c r="U177" s="8"/>
      <c r="V177" s="8"/>
    </row>
    <row r="178" ht="18" customHeight="1" spans="1:22" x14ac:dyDescent="0.25">
      <c r="A178" s="12">
        <v>176</v>
      </c>
      <c r="B178" s="13"/>
      <c r="C178" s="14"/>
      <c r="D178" s="14"/>
      <c r="E178" s="14"/>
      <c r="F178" s="14"/>
      <c r="G178" s="14"/>
      <c r="H178" s="14"/>
      <c r="I178" s="15"/>
      <c r="J178" s="15"/>
      <c r="K178" s="15"/>
      <c r="L178" s="15"/>
      <c r="M178" s="15"/>
      <c r="N178" s="15"/>
      <c r="O178" s="15"/>
      <c r="P178" s="15"/>
      <c r="Q178" s="15"/>
      <c r="R178" s="16">
        <f>=IF(I178="","",IFERROR(IFERROR(VLOOKUP(I178,Listas!$A$15:$B$20,2,0),0)+IFERROR(VLOOKUP(J178,Listas!$A$24:$B$29,2,0),0)+IFERROR(VLOOKUP(K178,Listas!$A$33:$B$37,2,0),0)+IFERROR(VLOOKUP(L178,Listas!$A$41:$B$44,2,0),0)+IFERROR(VLOOKUP(M178,Listas!$A$48:$B$50,2,0),0)+IFERROR(VLOOKUP(N178,Listas!$A$54:$B$56,2,0),0)+IFERROR(VLOOKUP(O178,Listas!$A$60:$B$62,2,0),0)+IFERROR(VLOOKUP(P178,Listas!$A$66:$B$69,2,0),0)+IFERROR(VLOOKUP(Q178,Listas!$A$73:$B$76,2,0),0),0))</f>
      </c>
      <c r="S178" s="17">
        <f>=IF(I178="","",IF(R178&gt;=80,"Prioritaria",IF(R178&gt;=60,"Recomendada",IF(R178&gt;=40,"Condicional","Lista de espera"))))</f>
      </c>
      <c r="T178" s="18"/>
      <c r="U178" s="14"/>
      <c r="V178" s="14"/>
    </row>
    <row r="179" ht="18" customHeight="1" spans="1:22" x14ac:dyDescent="0.25">
      <c r="A179" s="6">
        <v>177</v>
      </c>
      <c r="B179" s="7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9">
        <f>=IF(I179="","",IFERROR(IFERROR(VLOOKUP(I179,Listas!$A$15:$B$20,2,0),0)+IFERROR(VLOOKUP(J179,Listas!$A$24:$B$29,2,0),0)+IFERROR(VLOOKUP(K179,Listas!$A$33:$B$37,2,0),0)+IFERROR(VLOOKUP(L179,Listas!$A$41:$B$44,2,0),0)+IFERROR(VLOOKUP(M179,Listas!$A$48:$B$50,2,0),0)+IFERROR(VLOOKUP(N179,Listas!$A$54:$B$56,2,0),0)+IFERROR(VLOOKUP(O179,Listas!$A$60:$B$62,2,0),0)+IFERROR(VLOOKUP(P179,Listas!$A$66:$B$69,2,0),0)+IFERROR(VLOOKUP(Q179,Listas!$A$73:$B$76,2,0),0),0))</f>
      </c>
      <c r="S179" s="10">
        <f>=IF(I179="","",IF(R179&gt;=80,"Prioritaria",IF(R179&gt;=60,"Recomendada",IF(R179&gt;=40,"Condicional","Lista de espera"))))</f>
      </c>
      <c r="T179" s="11"/>
      <c r="U179" s="8"/>
      <c r="V179" s="8"/>
    </row>
    <row r="180" ht="18" customHeight="1" spans="1:22" x14ac:dyDescent="0.25">
      <c r="A180" s="12">
        <v>178</v>
      </c>
      <c r="B180" s="13"/>
      <c r="C180" s="14"/>
      <c r="D180" s="14"/>
      <c r="E180" s="14"/>
      <c r="F180" s="14"/>
      <c r="G180" s="14"/>
      <c r="H180" s="14"/>
      <c r="I180" s="15"/>
      <c r="J180" s="15"/>
      <c r="K180" s="15"/>
      <c r="L180" s="15"/>
      <c r="M180" s="15"/>
      <c r="N180" s="15"/>
      <c r="O180" s="15"/>
      <c r="P180" s="15"/>
      <c r="Q180" s="15"/>
      <c r="R180" s="16">
        <f>=IF(I180="","",IFERROR(IFERROR(VLOOKUP(I180,Listas!$A$15:$B$20,2,0),0)+IFERROR(VLOOKUP(J180,Listas!$A$24:$B$29,2,0),0)+IFERROR(VLOOKUP(K180,Listas!$A$33:$B$37,2,0),0)+IFERROR(VLOOKUP(L180,Listas!$A$41:$B$44,2,0),0)+IFERROR(VLOOKUP(M180,Listas!$A$48:$B$50,2,0),0)+IFERROR(VLOOKUP(N180,Listas!$A$54:$B$56,2,0),0)+IFERROR(VLOOKUP(O180,Listas!$A$60:$B$62,2,0),0)+IFERROR(VLOOKUP(P180,Listas!$A$66:$B$69,2,0),0)+IFERROR(VLOOKUP(Q180,Listas!$A$73:$B$76,2,0),0),0))</f>
      </c>
      <c r="S180" s="17">
        <f>=IF(I180="","",IF(R180&gt;=80,"Prioritaria",IF(R180&gt;=60,"Recomendada",IF(R180&gt;=40,"Condicional","Lista de espera"))))</f>
      </c>
      <c r="T180" s="18"/>
      <c r="U180" s="14"/>
      <c r="V180" s="14"/>
    </row>
    <row r="181" ht="18" customHeight="1" spans="1:22" x14ac:dyDescent="0.25">
      <c r="A181" s="6">
        <v>179</v>
      </c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9">
        <f>=IF(I181="","",IFERROR(IFERROR(VLOOKUP(I181,Listas!$A$15:$B$20,2,0),0)+IFERROR(VLOOKUP(J181,Listas!$A$24:$B$29,2,0),0)+IFERROR(VLOOKUP(K181,Listas!$A$33:$B$37,2,0),0)+IFERROR(VLOOKUP(L181,Listas!$A$41:$B$44,2,0),0)+IFERROR(VLOOKUP(M181,Listas!$A$48:$B$50,2,0),0)+IFERROR(VLOOKUP(N181,Listas!$A$54:$B$56,2,0),0)+IFERROR(VLOOKUP(O181,Listas!$A$60:$B$62,2,0),0)+IFERROR(VLOOKUP(P181,Listas!$A$66:$B$69,2,0),0)+IFERROR(VLOOKUP(Q181,Listas!$A$73:$B$76,2,0),0),0))</f>
      </c>
      <c r="S181" s="10">
        <f>=IF(I181="","",IF(R181&gt;=80,"Prioritaria",IF(R181&gt;=60,"Recomendada",IF(R181&gt;=40,"Condicional","Lista de espera"))))</f>
      </c>
      <c r="T181" s="11"/>
      <c r="U181" s="8"/>
      <c r="V181" s="8"/>
    </row>
    <row r="182" ht="18" customHeight="1" spans="1:22" x14ac:dyDescent="0.25">
      <c r="A182" s="12">
        <v>180</v>
      </c>
      <c r="B182" s="13"/>
      <c r="C182" s="14"/>
      <c r="D182" s="14"/>
      <c r="E182" s="14"/>
      <c r="F182" s="14"/>
      <c r="G182" s="14"/>
      <c r="H182" s="14"/>
      <c r="I182" s="15"/>
      <c r="J182" s="15"/>
      <c r="K182" s="15"/>
      <c r="L182" s="15"/>
      <c r="M182" s="15"/>
      <c r="N182" s="15"/>
      <c r="O182" s="15"/>
      <c r="P182" s="15"/>
      <c r="Q182" s="15"/>
      <c r="R182" s="16">
        <f>=IF(I182="","",IFERROR(IFERROR(VLOOKUP(I182,Listas!$A$15:$B$20,2,0),0)+IFERROR(VLOOKUP(J182,Listas!$A$24:$B$29,2,0),0)+IFERROR(VLOOKUP(K182,Listas!$A$33:$B$37,2,0),0)+IFERROR(VLOOKUP(L182,Listas!$A$41:$B$44,2,0),0)+IFERROR(VLOOKUP(M182,Listas!$A$48:$B$50,2,0),0)+IFERROR(VLOOKUP(N182,Listas!$A$54:$B$56,2,0),0)+IFERROR(VLOOKUP(O182,Listas!$A$60:$B$62,2,0),0)+IFERROR(VLOOKUP(P182,Listas!$A$66:$B$69,2,0),0)+IFERROR(VLOOKUP(Q182,Listas!$A$73:$B$76,2,0),0),0))</f>
      </c>
      <c r="S182" s="17">
        <f>=IF(I182="","",IF(R182&gt;=80,"Prioritaria",IF(R182&gt;=60,"Recomendada",IF(R182&gt;=40,"Condicional","Lista de espera"))))</f>
      </c>
      <c r="T182" s="18"/>
      <c r="U182" s="14"/>
      <c r="V182" s="14"/>
    </row>
    <row r="183" ht="18" customHeight="1" spans="1:22" x14ac:dyDescent="0.25">
      <c r="A183" s="6">
        <v>181</v>
      </c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9">
        <f>=IF(I183="","",IFERROR(IFERROR(VLOOKUP(I183,Listas!$A$15:$B$20,2,0),0)+IFERROR(VLOOKUP(J183,Listas!$A$24:$B$29,2,0),0)+IFERROR(VLOOKUP(K183,Listas!$A$33:$B$37,2,0),0)+IFERROR(VLOOKUP(L183,Listas!$A$41:$B$44,2,0),0)+IFERROR(VLOOKUP(M183,Listas!$A$48:$B$50,2,0),0)+IFERROR(VLOOKUP(N183,Listas!$A$54:$B$56,2,0),0)+IFERROR(VLOOKUP(O183,Listas!$A$60:$B$62,2,0),0)+IFERROR(VLOOKUP(P183,Listas!$A$66:$B$69,2,0),0)+IFERROR(VLOOKUP(Q183,Listas!$A$73:$B$76,2,0),0),0))</f>
      </c>
      <c r="S183" s="10">
        <f>=IF(I183="","",IF(R183&gt;=80,"Prioritaria",IF(R183&gt;=60,"Recomendada",IF(R183&gt;=40,"Condicional","Lista de espera"))))</f>
      </c>
      <c r="T183" s="11"/>
      <c r="U183" s="8"/>
      <c r="V183" s="8"/>
    </row>
    <row r="184" ht="18" customHeight="1" spans="1:22" x14ac:dyDescent="0.25">
      <c r="A184" s="12">
        <v>182</v>
      </c>
      <c r="B184" s="13"/>
      <c r="C184" s="14"/>
      <c r="D184" s="14"/>
      <c r="E184" s="14"/>
      <c r="F184" s="14"/>
      <c r="G184" s="14"/>
      <c r="H184" s="14"/>
      <c r="I184" s="15"/>
      <c r="J184" s="15"/>
      <c r="K184" s="15"/>
      <c r="L184" s="15"/>
      <c r="M184" s="15"/>
      <c r="N184" s="15"/>
      <c r="O184" s="15"/>
      <c r="P184" s="15"/>
      <c r="Q184" s="15"/>
      <c r="R184" s="16">
        <f>=IF(I184="","",IFERROR(IFERROR(VLOOKUP(I184,Listas!$A$15:$B$20,2,0),0)+IFERROR(VLOOKUP(J184,Listas!$A$24:$B$29,2,0),0)+IFERROR(VLOOKUP(K184,Listas!$A$33:$B$37,2,0),0)+IFERROR(VLOOKUP(L184,Listas!$A$41:$B$44,2,0),0)+IFERROR(VLOOKUP(M184,Listas!$A$48:$B$50,2,0),0)+IFERROR(VLOOKUP(N184,Listas!$A$54:$B$56,2,0),0)+IFERROR(VLOOKUP(O184,Listas!$A$60:$B$62,2,0),0)+IFERROR(VLOOKUP(P184,Listas!$A$66:$B$69,2,0),0)+IFERROR(VLOOKUP(Q184,Listas!$A$73:$B$76,2,0),0),0))</f>
      </c>
      <c r="S184" s="17">
        <f>=IF(I184="","",IF(R184&gt;=80,"Prioritaria",IF(R184&gt;=60,"Recomendada",IF(R184&gt;=40,"Condicional","Lista de espera"))))</f>
      </c>
      <c r="T184" s="18"/>
      <c r="U184" s="14"/>
      <c r="V184" s="14"/>
    </row>
    <row r="185" ht="18" customHeight="1" spans="1:22" x14ac:dyDescent="0.25">
      <c r="A185" s="6">
        <v>183</v>
      </c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9">
        <f>=IF(I185="","",IFERROR(IFERROR(VLOOKUP(I185,Listas!$A$15:$B$20,2,0),0)+IFERROR(VLOOKUP(J185,Listas!$A$24:$B$29,2,0),0)+IFERROR(VLOOKUP(K185,Listas!$A$33:$B$37,2,0),0)+IFERROR(VLOOKUP(L185,Listas!$A$41:$B$44,2,0),0)+IFERROR(VLOOKUP(M185,Listas!$A$48:$B$50,2,0),0)+IFERROR(VLOOKUP(N185,Listas!$A$54:$B$56,2,0),0)+IFERROR(VLOOKUP(O185,Listas!$A$60:$B$62,2,0),0)+IFERROR(VLOOKUP(P185,Listas!$A$66:$B$69,2,0),0)+IFERROR(VLOOKUP(Q185,Listas!$A$73:$B$76,2,0),0),0))</f>
      </c>
      <c r="S185" s="10">
        <f>=IF(I185="","",IF(R185&gt;=80,"Prioritaria",IF(R185&gt;=60,"Recomendada",IF(R185&gt;=40,"Condicional","Lista de espera"))))</f>
      </c>
      <c r="T185" s="11"/>
      <c r="U185" s="8"/>
      <c r="V185" s="8"/>
    </row>
    <row r="186" ht="18" customHeight="1" spans="1:22" x14ac:dyDescent="0.25">
      <c r="A186" s="12">
        <v>184</v>
      </c>
      <c r="B186" s="13"/>
      <c r="C186" s="14"/>
      <c r="D186" s="14"/>
      <c r="E186" s="14"/>
      <c r="F186" s="14"/>
      <c r="G186" s="14"/>
      <c r="H186" s="14"/>
      <c r="I186" s="15"/>
      <c r="J186" s="15"/>
      <c r="K186" s="15"/>
      <c r="L186" s="15"/>
      <c r="M186" s="15"/>
      <c r="N186" s="15"/>
      <c r="O186" s="15"/>
      <c r="P186" s="15"/>
      <c r="Q186" s="15"/>
      <c r="R186" s="16">
        <f>=IF(I186="","",IFERROR(IFERROR(VLOOKUP(I186,Listas!$A$15:$B$20,2,0),0)+IFERROR(VLOOKUP(J186,Listas!$A$24:$B$29,2,0),0)+IFERROR(VLOOKUP(K186,Listas!$A$33:$B$37,2,0),0)+IFERROR(VLOOKUP(L186,Listas!$A$41:$B$44,2,0),0)+IFERROR(VLOOKUP(M186,Listas!$A$48:$B$50,2,0),0)+IFERROR(VLOOKUP(N186,Listas!$A$54:$B$56,2,0),0)+IFERROR(VLOOKUP(O186,Listas!$A$60:$B$62,2,0),0)+IFERROR(VLOOKUP(P186,Listas!$A$66:$B$69,2,0),0)+IFERROR(VLOOKUP(Q186,Listas!$A$73:$B$76,2,0),0),0))</f>
      </c>
      <c r="S186" s="17">
        <f>=IF(I186="","",IF(R186&gt;=80,"Prioritaria",IF(R186&gt;=60,"Recomendada",IF(R186&gt;=40,"Condicional","Lista de espera"))))</f>
      </c>
      <c r="T186" s="18"/>
      <c r="U186" s="14"/>
      <c r="V186" s="14"/>
    </row>
    <row r="187" ht="18" customHeight="1" spans="1:22" x14ac:dyDescent="0.25">
      <c r="A187" s="6">
        <v>185</v>
      </c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9">
        <f>=IF(I187="","",IFERROR(IFERROR(VLOOKUP(I187,Listas!$A$15:$B$20,2,0),0)+IFERROR(VLOOKUP(J187,Listas!$A$24:$B$29,2,0),0)+IFERROR(VLOOKUP(K187,Listas!$A$33:$B$37,2,0),0)+IFERROR(VLOOKUP(L187,Listas!$A$41:$B$44,2,0),0)+IFERROR(VLOOKUP(M187,Listas!$A$48:$B$50,2,0),0)+IFERROR(VLOOKUP(N187,Listas!$A$54:$B$56,2,0),0)+IFERROR(VLOOKUP(O187,Listas!$A$60:$B$62,2,0),0)+IFERROR(VLOOKUP(P187,Listas!$A$66:$B$69,2,0),0)+IFERROR(VLOOKUP(Q187,Listas!$A$73:$B$76,2,0),0),0))</f>
      </c>
      <c r="S187" s="10">
        <f>=IF(I187="","",IF(R187&gt;=80,"Prioritaria",IF(R187&gt;=60,"Recomendada",IF(R187&gt;=40,"Condicional","Lista de espera"))))</f>
      </c>
      <c r="T187" s="11"/>
      <c r="U187" s="8"/>
      <c r="V187" s="8"/>
    </row>
    <row r="188" ht="18" customHeight="1" spans="1:22" x14ac:dyDescent="0.25">
      <c r="A188" s="12">
        <v>186</v>
      </c>
      <c r="B188" s="13"/>
      <c r="C188" s="14"/>
      <c r="D188" s="14"/>
      <c r="E188" s="14"/>
      <c r="F188" s="14"/>
      <c r="G188" s="14"/>
      <c r="H188" s="14"/>
      <c r="I188" s="15"/>
      <c r="J188" s="15"/>
      <c r="K188" s="15"/>
      <c r="L188" s="15"/>
      <c r="M188" s="15"/>
      <c r="N188" s="15"/>
      <c r="O188" s="15"/>
      <c r="P188" s="15"/>
      <c r="Q188" s="15"/>
      <c r="R188" s="16">
        <f>=IF(I188="","",IFERROR(IFERROR(VLOOKUP(I188,Listas!$A$15:$B$20,2,0),0)+IFERROR(VLOOKUP(J188,Listas!$A$24:$B$29,2,0),0)+IFERROR(VLOOKUP(K188,Listas!$A$33:$B$37,2,0),0)+IFERROR(VLOOKUP(L188,Listas!$A$41:$B$44,2,0),0)+IFERROR(VLOOKUP(M188,Listas!$A$48:$B$50,2,0),0)+IFERROR(VLOOKUP(N188,Listas!$A$54:$B$56,2,0),0)+IFERROR(VLOOKUP(O188,Listas!$A$60:$B$62,2,0),0)+IFERROR(VLOOKUP(P188,Listas!$A$66:$B$69,2,0),0)+IFERROR(VLOOKUP(Q188,Listas!$A$73:$B$76,2,0),0),0))</f>
      </c>
      <c r="S188" s="17">
        <f>=IF(I188="","",IF(R188&gt;=80,"Prioritaria",IF(R188&gt;=60,"Recomendada",IF(R188&gt;=40,"Condicional","Lista de espera"))))</f>
      </c>
      <c r="T188" s="18"/>
      <c r="U188" s="14"/>
      <c r="V188" s="14"/>
    </row>
    <row r="189" ht="18" customHeight="1" spans="1:22" x14ac:dyDescent="0.25">
      <c r="A189" s="6">
        <v>187</v>
      </c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9">
        <f>=IF(I189="","",IFERROR(IFERROR(VLOOKUP(I189,Listas!$A$15:$B$20,2,0),0)+IFERROR(VLOOKUP(J189,Listas!$A$24:$B$29,2,0),0)+IFERROR(VLOOKUP(K189,Listas!$A$33:$B$37,2,0),0)+IFERROR(VLOOKUP(L189,Listas!$A$41:$B$44,2,0),0)+IFERROR(VLOOKUP(M189,Listas!$A$48:$B$50,2,0),0)+IFERROR(VLOOKUP(N189,Listas!$A$54:$B$56,2,0),0)+IFERROR(VLOOKUP(O189,Listas!$A$60:$B$62,2,0),0)+IFERROR(VLOOKUP(P189,Listas!$A$66:$B$69,2,0),0)+IFERROR(VLOOKUP(Q189,Listas!$A$73:$B$76,2,0),0),0))</f>
      </c>
      <c r="S189" s="10">
        <f>=IF(I189="","",IF(R189&gt;=80,"Prioritaria",IF(R189&gt;=60,"Recomendada",IF(R189&gt;=40,"Condicional","Lista de espera"))))</f>
      </c>
      <c r="T189" s="11"/>
      <c r="U189" s="8"/>
      <c r="V189" s="8"/>
    </row>
    <row r="190" ht="18" customHeight="1" spans="1:22" x14ac:dyDescent="0.25">
      <c r="A190" s="12">
        <v>188</v>
      </c>
      <c r="B190" s="13"/>
      <c r="C190" s="14"/>
      <c r="D190" s="14"/>
      <c r="E190" s="14"/>
      <c r="F190" s="14"/>
      <c r="G190" s="14"/>
      <c r="H190" s="14"/>
      <c r="I190" s="15"/>
      <c r="J190" s="15"/>
      <c r="K190" s="15"/>
      <c r="L190" s="15"/>
      <c r="M190" s="15"/>
      <c r="N190" s="15"/>
      <c r="O190" s="15"/>
      <c r="P190" s="15"/>
      <c r="Q190" s="15"/>
      <c r="R190" s="16">
        <f>=IF(I190="","",IFERROR(IFERROR(VLOOKUP(I190,Listas!$A$15:$B$20,2,0),0)+IFERROR(VLOOKUP(J190,Listas!$A$24:$B$29,2,0),0)+IFERROR(VLOOKUP(K190,Listas!$A$33:$B$37,2,0),0)+IFERROR(VLOOKUP(L190,Listas!$A$41:$B$44,2,0),0)+IFERROR(VLOOKUP(M190,Listas!$A$48:$B$50,2,0),0)+IFERROR(VLOOKUP(N190,Listas!$A$54:$B$56,2,0),0)+IFERROR(VLOOKUP(O190,Listas!$A$60:$B$62,2,0),0)+IFERROR(VLOOKUP(P190,Listas!$A$66:$B$69,2,0),0)+IFERROR(VLOOKUP(Q190,Listas!$A$73:$B$76,2,0),0),0))</f>
      </c>
      <c r="S190" s="17">
        <f>=IF(I190="","",IF(R190&gt;=80,"Prioritaria",IF(R190&gt;=60,"Recomendada",IF(R190&gt;=40,"Condicional","Lista de espera"))))</f>
      </c>
      <c r="T190" s="18"/>
      <c r="U190" s="14"/>
      <c r="V190" s="14"/>
    </row>
    <row r="191" ht="18" customHeight="1" spans="1:22" x14ac:dyDescent="0.25">
      <c r="A191" s="6">
        <v>189</v>
      </c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9">
        <f>=IF(I191="","",IFERROR(IFERROR(VLOOKUP(I191,Listas!$A$15:$B$20,2,0),0)+IFERROR(VLOOKUP(J191,Listas!$A$24:$B$29,2,0),0)+IFERROR(VLOOKUP(K191,Listas!$A$33:$B$37,2,0),0)+IFERROR(VLOOKUP(L191,Listas!$A$41:$B$44,2,0),0)+IFERROR(VLOOKUP(M191,Listas!$A$48:$B$50,2,0),0)+IFERROR(VLOOKUP(N191,Listas!$A$54:$B$56,2,0),0)+IFERROR(VLOOKUP(O191,Listas!$A$60:$B$62,2,0),0)+IFERROR(VLOOKUP(P191,Listas!$A$66:$B$69,2,0),0)+IFERROR(VLOOKUP(Q191,Listas!$A$73:$B$76,2,0),0),0))</f>
      </c>
      <c r="S191" s="10">
        <f>=IF(I191="","",IF(R191&gt;=80,"Prioritaria",IF(R191&gt;=60,"Recomendada",IF(R191&gt;=40,"Condicional","Lista de espera"))))</f>
      </c>
      <c r="T191" s="11"/>
      <c r="U191" s="8"/>
      <c r="V191" s="8"/>
    </row>
    <row r="192" ht="18" customHeight="1" spans="1:22" x14ac:dyDescent="0.25">
      <c r="A192" s="12">
        <v>190</v>
      </c>
      <c r="B192" s="13"/>
      <c r="C192" s="14"/>
      <c r="D192" s="14"/>
      <c r="E192" s="14"/>
      <c r="F192" s="14"/>
      <c r="G192" s="14"/>
      <c r="H192" s="14"/>
      <c r="I192" s="15"/>
      <c r="J192" s="15"/>
      <c r="K192" s="15"/>
      <c r="L192" s="15"/>
      <c r="M192" s="15"/>
      <c r="N192" s="15"/>
      <c r="O192" s="15"/>
      <c r="P192" s="15"/>
      <c r="Q192" s="15"/>
      <c r="R192" s="16">
        <f>=IF(I192="","",IFERROR(IFERROR(VLOOKUP(I192,Listas!$A$15:$B$20,2,0),0)+IFERROR(VLOOKUP(J192,Listas!$A$24:$B$29,2,0),0)+IFERROR(VLOOKUP(K192,Listas!$A$33:$B$37,2,0),0)+IFERROR(VLOOKUP(L192,Listas!$A$41:$B$44,2,0),0)+IFERROR(VLOOKUP(M192,Listas!$A$48:$B$50,2,0),0)+IFERROR(VLOOKUP(N192,Listas!$A$54:$B$56,2,0),0)+IFERROR(VLOOKUP(O192,Listas!$A$60:$B$62,2,0),0)+IFERROR(VLOOKUP(P192,Listas!$A$66:$B$69,2,0),0)+IFERROR(VLOOKUP(Q192,Listas!$A$73:$B$76,2,0),0),0))</f>
      </c>
      <c r="S192" s="17">
        <f>=IF(I192="","",IF(R192&gt;=80,"Prioritaria",IF(R192&gt;=60,"Recomendada",IF(R192&gt;=40,"Condicional","Lista de espera"))))</f>
      </c>
      <c r="T192" s="18"/>
      <c r="U192" s="14"/>
      <c r="V192" s="14"/>
    </row>
    <row r="193" ht="18" customHeight="1" spans="1:22" x14ac:dyDescent="0.25">
      <c r="A193" s="6">
        <v>191</v>
      </c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9">
        <f>=IF(I193="","",IFERROR(IFERROR(VLOOKUP(I193,Listas!$A$15:$B$20,2,0),0)+IFERROR(VLOOKUP(J193,Listas!$A$24:$B$29,2,0),0)+IFERROR(VLOOKUP(K193,Listas!$A$33:$B$37,2,0),0)+IFERROR(VLOOKUP(L193,Listas!$A$41:$B$44,2,0),0)+IFERROR(VLOOKUP(M193,Listas!$A$48:$B$50,2,0),0)+IFERROR(VLOOKUP(N193,Listas!$A$54:$B$56,2,0),0)+IFERROR(VLOOKUP(O193,Listas!$A$60:$B$62,2,0),0)+IFERROR(VLOOKUP(P193,Listas!$A$66:$B$69,2,0),0)+IFERROR(VLOOKUP(Q193,Listas!$A$73:$B$76,2,0),0),0))</f>
      </c>
      <c r="S193" s="10">
        <f>=IF(I193="","",IF(R193&gt;=80,"Prioritaria",IF(R193&gt;=60,"Recomendada",IF(R193&gt;=40,"Condicional","Lista de espera"))))</f>
      </c>
      <c r="T193" s="11"/>
      <c r="U193" s="8"/>
      <c r="V193" s="8"/>
    </row>
    <row r="194" ht="18" customHeight="1" spans="1:22" x14ac:dyDescent="0.25">
      <c r="A194" s="12">
        <v>192</v>
      </c>
      <c r="B194" s="13"/>
      <c r="C194" s="14"/>
      <c r="D194" s="14"/>
      <c r="E194" s="14"/>
      <c r="F194" s="14"/>
      <c r="G194" s="14"/>
      <c r="H194" s="14"/>
      <c r="I194" s="15"/>
      <c r="J194" s="15"/>
      <c r="K194" s="15"/>
      <c r="L194" s="15"/>
      <c r="M194" s="15"/>
      <c r="N194" s="15"/>
      <c r="O194" s="15"/>
      <c r="P194" s="15"/>
      <c r="Q194" s="15"/>
      <c r="R194" s="16">
        <f>=IF(I194="","",IFERROR(IFERROR(VLOOKUP(I194,Listas!$A$15:$B$20,2,0),0)+IFERROR(VLOOKUP(J194,Listas!$A$24:$B$29,2,0),0)+IFERROR(VLOOKUP(K194,Listas!$A$33:$B$37,2,0),0)+IFERROR(VLOOKUP(L194,Listas!$A$41:$B$44,2,0),0)+IFERROR(VLOOKUP(M194,Listas!$A$48:$B$50,2,0),0)+IFERROR(VLOOKUP(N194,Listas!$A$54:$B$56,2,0),0)+IFERROR(VLOOKUP(O194,Listas!$A$60:$B$62,2,0),0)+IFERROR(VLOOKUP(P194,Listas!$A$66:$B$69,2,0),0)+IFERROR(VLOOKUP(Q194,Listas!$A$73:$B$76,2,0),0),0))</f>
      </c>
      <c r="S194" s="17">
        <f>=IF(I194="","",IF(R194&gt;=80,"Prioritaria",IF(R194&gt;=60,"Recomendada",IF(R194&gt;=40,"Condicional","Lista de espera"))))</f>
      </c>
      <c r="T194" s="18"/>
      <c r="U194" s="14"/>
      <c r="V194" s="14"/>
    </row>
    <row r="195" ht="18" customHeight="1" spans="1:22" x14ac:dyDescent="0.25">
      <c r="A195" s="6">
        <v>193</v>
      </c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9">
        <f>=IF(I195="","",IFERROR(IFERROR(VLOOKUP(I195,Listas!$A$15:$B$20,2,0),0)+IFERROR(VLOOKUP(J195,Listas!$A$24:$B$29,2,0),0)+IFERROR(VLOOKUP(K195,Listas!$A$33:$B$37,2,0),0)+IFERROR(VLOOKUP(L195,Listas!$A$41:$B$44,2,0),0)+IFERROR(VLOOKUP(M195,Listas!$A$48:$B$50,2,0),0)+IFERROR(VLOOKUP(N195,Listas!$A$54:$B$56,2,0),0)+IFERROR(VLOOKUP(O195,Listas!$A$60:$B$62,2,0),0)+IFERROR(VLOOKUP(P195,Listas!$A$66:$B$69,2,0),0)+IFERROR(VLOOKUP(Q195,Listas!$A$73:$B$76,2,0),0),0))</f>
      </c>
      <c r="S195" s="10">
        <f>=IF(I195="","",IF(R195&gt;=80,"Prioritaria",IF(R195&gt;=60,"Recomendada",IF(R195&gt;=40,"Condicional","Lista de espera"))))</f>
      </c>
      <c r="T195" s="11"/>
      <c r="U195" s="8"/>
      <c r="V195" s="8"/>
    </row>
    <row r="196" ht="18" customHeight="1" spans="1:22" x14ac:dyDescent="0.25">
      <c r="A196" s="12">
        <v>194</v>
      </c>
      <c r="B196" s="13"/>
      <c r="C196" s="14"/>
      <c r="D196" s="14"/>
      <c r="E196" s="14"/>
      <c r="F196" s="14"/>
      <c r="G196" s="14"/>
      <c r="H196" s="14"/>
      <c r="I196" s="15"/>
      <c r="J196" s="15"/>
      <c r="K196" s="15"/>
      <c r="L196" s="15"/>
      <c r="M196" s="15"/>
      <c r="N196" s="15"/>
      <c r="O196" s="15"/>
      <c r="P196" s="15"/>
      <c r="Q196" s="15"/>
      <c r="R196" s="16">
        <f>=IF(I196="","",IFERROR(IFERROR(VLOOKUP(I196,Listas!$A$15:$B$20,2,0),0)+IFERROR(VLOOKUP(J196,Listas!$A$24:$B$29,2,0),0)+IFERROR(VLOOKUP(K196,Listas!$A$33:$B$37,2,0),0)+IFERROR(VLOOKUP(L196,Listas!$A$41:$B$44,2,0),0)+IFERROR(VLOOKUP(M196,Listas!$A$48:$B$50,2,0),0)+IFERROR(VLOOKUP(N196,Listas!$A$54:$B$56,2,0),0)+IFERROR(VLOOKUP(O196,Listas!$A$60:$B$62,2,0),0)+IFERROR(VLOOKUP(P196,Listas!$A$66:$B$69,2,0),0)+IFERROR(VLOOKUP(Q196,Listas!$A$73:$B$76,2,0),0),0))</f>
      </c>
      <c r="S196" s="17">
        <f>=IF(I196="","",IF(R196&gt;=80,"Prioritaria",IF(R196&gt;=60,"Recomendada",IF(R196&gt;=40,"Condicional","Lista de espera"))))</f>
      </c>
      <c r="T196" s="18"/>
      <c r="U196" s="14"/>
      <c r="V196" s="14"/>
    </row>
    <row r="197" ht="18" customHeight="1" spans="1:22" x14ac:dyDescent="0.25">
      <c r="A197" s="6">
        <v>195</v>
      </c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9">
        <f>=IF(I197="","",IFERROR(IFERROR(VLOOKUP(I197,Listas!$A$15:$B$20,2,0),0)+IFERROR(VLOOKUP(J197,Listas!$A$24:$B$29,2,0),0)+IFERROR(VLOOKUP(K197,Listas!$A$33:$B$37,2,0),0)+IFERROR(VLOOKUP(L197,Listas!$A$41:$B$44,2,0),0)+IFERROR(VLOOKUP(M197,Listas!$A$48:$B$50,2,0),0)+IFERROR(VLOOKUP(N197,Listas!$A$54:$B$56,2,0),0)+IFERROR(VLOOKUP(O197,Listas!$A$60:$B$62,2,0),0)+IFERROR(VLOOKUP(P197,Listas!$A$66:$B$69,2,0),0)+IFERROR(VLOOKUP(Q197,Listas!$A$73:$B$76,2,0),0),0))</f>
      </c>
      <c r="S197" s="10">
        <f>=IF(I197="","",IF(R197&gt;=80,"Prioritaria",IF(R197&gt;=60,"Recomendada",IF(R197&gt;=40,"Condicional","Lista de espera"))))</f>
      </c>
      <c r="T197" s="11"/>
      <c r="U197" s="8"/>
      <c r="V197" s="8"/>
    </row>
    <row r="198" ht="18" customHeight="1" spans="1:22" x14ac:dyDescent="0.25">
      <c r="A198" s="12">
        <v>196</v>
      </c>
      <c r="B198" s="13"/>
      <c r="C198" s="14"/>
      <c r="D198" s="14"/>
      <c r="E198" s="14"/>
      <c r="F198" s="14"/>
      <c r="G198" s="14"/>
      <c r="H198" s="14"/>
      <c r="I198" s="15"/>
      <c r="J198" s="15"/>
      <c r="K198" s="15"/>
      <c r="L198" s="15"/>
      <c r="M198" s="15"/>
      <c r="N198" s="15"/>
      <c r="O198" s="15"/>
      <c r="P198" s="15"/>
      <c r="Q198" s="15"/>
      <c r="R198" s="16">
        <f>=IF(I198="","",IFERROR(IFERROR(VLOOKUP(I198,Listas!$A$15:$B$20,2,0),0)+IFERROR(VLOOKUP(J198,Listas!$A$24:$B$29,2,0),0)+IFERROR(VLOOKUP(K198,Listas!$A$33:$B$37,2,0),0)+IFERROR(VLOOKUP(L198,Listas!$A$41:$B$44,2,0),0)+IFERROR(VLOOKUP(M198,Listas!$A$48:$B$50,2,0),0)+IFERROR(VLOOKUP(N198,Listas!$A$54:$B$56,2,0),0)+IFERROR(VLOOKUP(O198,Listas!$A$60:$B$62,2,0),0)+IFERROR(VLOOKUP(P198,Listas!$A$66:$B$69,2,0),0)+IFERROR(VLOOKUP(Q198,Listas!$A$73:$B$76,2,0),0),0))</f>
      </c>
      <c r="S198" s="17">
        <f>=IF(I198="","",IF(R198&gt;=80,"Prioritaria",IF(R198&gt;=60,"Recomendada",IF(R198&gt;=40,"Condicional","Lista de espera"))))</f>
      </c>
      <c r="T198" s="18"/>
      <c r="U198" s="14"/>
      <c r="V198" s="14"/>
    </row>
    <row r="199" ht="18" customHeight="1" spans="1:22" x14ac:dyDescent="0.25">
      <c r="A199" s="6">
        <v>197</v>
      </c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9">
        <f>=IF(I199="","",IFERROR(IFERROR(VLOOKUP(I199,Listas!$A$15:$B$20,2,0),0)+IFERROR(VLOOKUP(J199,Listas!$A$24:$B$29,2,0),0)+IFERROR(VLOOKUP(K199,Listas!$A$33:$B$37,2,0),0)+IFERROR(VLOOKUP(L199,Listas!$A$41:$B$44,2,0),0)+IFERROR(VLOOKUP(M199,Listas!$A$48:$B$50,2,0),0)+IFERROR(VLOOKUP(N199,Listas!$A$54:$B$56,2,0),0)+IFERROR(VLOOKUP(O199,Listas!$A$60:$B$62,2,0),0)+IFERROR(VLOOKUP(P199,Listas!$A$66:$B$69,2,0),0)+IFERROR(VLOOKUP(Q199,Listas!$A$73:$B$76,2,0),0),0))</f>
      </c>
      <c r="S199" s="10">
        <f>=IF(I199="","",IF(R199&gt;=80,"Prioritaria",IF(R199&gt;=60,"Recomendada",IF(R199&gt;=40,"Condicional","Lista de espera"))))</f>
      </c>
      <c r="T199" s="11"/>
      <c r="U199" s="8"/>
      <c r="V199" s="8"/>
    </row>
    <row r="200" ht="18" customHeight="1" spans="1:22" x14ac:dyDescent="0.25">
      <c r="A200" s="12">
        <v>198</v>
      </c>
      <c r="B200" s="13"/>
      <c r="C200" s="14"/>
      <c r="D200" s="14"/>
      <c r="E200" s="14"/>
      <c r="F200" s="14"/>
      <c r="G200" s="14"/>
      <c r="H200" s="14"/>
      <c r="I200" s="15"/>
      <c r="J200" s="15"/>
      <c r="K200" s="15"/>
      <c r="L200" s="15"/>
      <c r="M200" s="15"/>
      <c r="N200" s="15"/>
      <c r="O200" s="15"/>
      <c r="P200" s="15"/>
      <c r="Q200" s="15"/>
      <c r="R200" s="16">
        <f>=IF(I200="","",IFERROR(IFERROR(VLOOKUP(I200,Listas!$A$15:$B$20,2,0),0)+IFERROR(VLOOKUP(J200,Listas!$A$24:$B$29,2,0),0)+IFERROR(VLOOKUP(K200,Listas!$A$33:$B$37,2,0),0)+IFERROR(VLOOKUP(L200,Listas!$A$41:$B$44,2,0),0)+IFERROR(VLOOKUP(M200,Listas!$A$48:$B$50,2,0),0)+IFERROR(VLOOKUP(N200,Listas!$A$54:$B$56,2,0),0)+IFERROR(VLOOKUP(O200,Listas!$A$60:$B$62,2,0),0)+IFERROR(VLOOKUP(P200,Listas!$A$66:$B$69,2,0),0)+IFERROR(VLOOKUP(Q200,Listas!$A$73:$B$76,2,0),0),0))</f>
      </c>
      <c r="S200" s="17">
        <f>=IF(I200="","",IF(R200&gt;=80,"Prioritaria",IF(R200&gt;=60,"Recomendada",IF(R200&gt;=40,"Condicional","Lista de espera"))))</f>
      </c>
      <c r="T200" s="18"/>
      <c r="U200" s="14"/>
      <c r="V200" s="14"/>
    </row>
    <row r="201" ht="18" customHeight="1" spans="1:22" x14ac:dyDescent="0.25">
      <c r="A201" s="6">
        <v>199</v>
      </c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9">
        <f>=IF(I201="","",IFERROR(IFERROR(VLOOKUP(I201,Listas!$A$15:$B$20,2,0),0)+IFERROR(VLOOKUP(J201,Listas!$A$24:$B$29,2,0),0)+IFERROR(VLOOKUP(K201,Listas!$A$33:$B$37,2,0),0)+IFERROR(VLOOKUP(L201,Listas!$A$41:$B$44,2,0),0)+IFERROR(VLOOKUP(M201,Listas!$A$48:$B$50,2,0),0)+IFERROR(VLOOKUP(N201,Listas!$A$54:$B$56,2,0),0)+IFERROR(VLOOKUP(O201,Listas!$A$60:$B$62,2,0),0)+IFERROR(VLOOKUP(P201,Listas!$A$66:$B$69,2,0),0)+IFERROR(VLOOKUP(Q201,Listas!$A$73:$B$76,2,0),0),0))</f>
      </c>
      <c r="S201" s="10">
        <f>=IF(I201="","",IF(R201&gt;=80,"Prioritaria",IF(R201&gt;=60,"Recomendada",IF(R201&gt;=40,"Condicional","Lista de espera"))))</f>
      </c>
      <c r="T201" s="11"/>
      <c r="U201" s="8"/>
      <c r="V201" s="8"/>
    </row>
    <row r="202" ht="18" customHeight="1" spans="1:22" x14ac:dyDescent="0.25">
      <c r="A202" s="12">
        <v>200</v>
      </c>
      <c r="B202" s="13"/>
      <c r="C202" s="14"/>
      <c r="D202" s="14"/>
      <c r="E202" s="14"/>
      <c r="F202" s="14"/>
      <c r="G202" s="14"/>
      <c r="H202" s="14"/>
      <c r="I202" s="15"/>
      <c r="J202" s="15"/>
      <c r="K202" s="15"/>
      <c r="L202" s="15"/>
      <c r="M202" s="15"/>
      <c r="N202" s="15"/>
      <c r="O202" s="15"/>
      <c r="P202" s="15"/>
      <c r="Q202" s="15"/>
      <c r="R202" s="16">
        <f>=IF(I202="","",IFERROR(IFERROR(VLOOKUP(I202,Listas!$A$15:$B$20,2,0),0)+IFERROR(VLOOKUP(J202,Listas!$A$24:$B$29,2,0),0)+IFERROR(VLOOKUP(K202,Listas!$A$33:$B$37,2,0),0)+IFERROR(VLOOKUP(L202,Listas!$A$41:$B$44,2,0),0)+IFERROR(VLOOKUP(M202,Listas!$A$48:$B$50,2,0),0)+IFERROR(VLOOKUP(N202,Listas!$A$54:$B$56,2,0),0)+IFERROR(VLOOKUP(O202,Listas!$A$60:$B$62,2,0),0)+IFERROR(VLOOKUP(P202,Listas!$A$66:$B$69,2,0),0)+IFERROR(VLOOKUP(Q202,Listas!$A$73:$B$76,2,0),0),0))</f>
      </c>
      <c r="S202" s="17">
        <f>=IF(I202="","",IF(R202&gt;=80,"Prioritaria",IF(R202&gt;=60,"Recomendada",IF(R202&gt;=40,"Condicional","Lista de espera"))))</f>
      </c>
      <c r="T202" s="18"/>
      <c r="U202" s="14"/>
      <c r="V202" s="14"/>
    </row>
  </sheetData>
  <autoFilter ref="A2:V2"/>
  <mergeCells count="1">
    <mergeCell ref="A1:V1"/>
  </mergeCells>
  <conditionalFormatting sqref="S3:S202">
    <cfRule type="containsText" dxfId="0" priority="1">
      <formula>NOT(ISERROR(SEARCH("Prioritaria",S3)))</formula>
    </cfRule>
    <cfRule type="containsText" dxfId="1" priority="2">
      <formula>NOT(ISERROR(SEARCH("Recomendada",S3)))</formula>
    </cfRule>
    <cfRule type="containsText" dxfId="2" priority="3">
      <formula>NOT(ISERROR(SEARCH("Condicional",S3)))</formula>
    </cfRule>
    <cfRule type="containsText" dxfId="3" priority="4">
      <formula>NOT(ISERROR(SEARCH("Lista de espera",S3)))</formula>
    </cfRule>
  </conditionalFormatting>
  <conditionalFormatting sqref="R3:R202">
    <cfRule type="cellIs" dxfId="4" priority="1" operator="greaterThanOrEqual">
      <formula>80</formula>
    </cfRule>
    <cfRule type="cellIs" dxfId="5" priority="2" operator="between">
      <formula>60</formula>
      <formula>79</formula>
    </cfRule>
    <cfRule type="cellIs" dxfId="6" priority="3" operator="between">
      <formula>40</formula>
      <formula>59</formula>
    </cfRule>
    <cfRule type="cellIs" dxfId="7" priority="4" operator="between">
      <formula>1</formula>
      <formula>39</formula>
    </cfRule>
  </conditionalFormatting>
  <dataValidations count="22">
    <dataValidation type="list" allowBlank="1" showErrorMessage="1" errorTitle="Grupo inválido" error="Seleccione un grupo de la lista" sqref="F10:F202">
      <formula1>Listas!$A$3:$A$11</formula1>
    </dataValidation>
    <dataValidation type="list" allowBlank="1" showErrorMessage="1" errorTitle="Grupo inválido" error="Seleccione un grupo de la lista" sqref="F3:F202">
      <formula1>Listas!$A$3:$A$11</formula1>
    </dataValidation>
    <dataValidation type="list" allowBlank="1" showErrorMessage="1" errorTitle="Valor inválido" error="Seleccione una opción de la lista desplegable" sqref="I10:I202">
      <formula1>Listas!$A$15:$A$20</formula1>
    </dataValidation>
    <dataValidation type="list" allowBlank="1" showErrorMessage="1" errorTitle="Valor inválido" error="Seleccione una opción de la lista desplegable" sqref="I3:I202">
      <formula1>Listas!$A$15:$A$20</formula1>
    </dataValidation>
    <dataValidation type="list" allowBlank="1" showErrorMessage="1" errorTitle="Valor inválido" error="Seleccione una opción de la lista desplegable" sqref="J10:J202">
      <formula1>Listas!$A$24:$A$29</formula1>
    </dataValidation>
    <dataValidation type="list" allowBlank="1" showErrorMessage="1" errorTitle="Valor inválido" error="Seleccione una opción de la lista desplegable" sqref="J3:J202">
      <formula1>Listas!$A$24:$A$29</formula1>
    </dataValidation>
    <dataValidation type="list" allowBlank="1" showErrorMessage="1" errorTitle="Valor inválido" error="Seleccione una opción de la lista desplegable" sqref="K10:K202">
      <formula1>Listas!$A$33:$A$37</formula1>
    </dataValidation>
    <dataValidation type="list" allowBlank="1" showErrorMessage="1" errorTitle="Valor inválido" error="Seleccione una opción de la lista desplegable" sqref="K3:K202">
      <formula1>Listas!$A$33:$A$37</formula1>
    </dataValidation>
    <dataValidation type="list" allowBlank="1" showErrorMessage="1" errorTitle="Valor inválido" error="Seleccione una opción de la lista desplegable" sqref="L10:L202">
      <formula1>Listas!$A$41:$A$44</formula1>
    </dataValidation>
    <dataValidation type="list" allowBlank="1" showErrorMessage="1" errorTitle="Valor inválido" error="Seleccione una opción de la lista desplegable" sqref="L3:L202">
      <formula1>Listas!$A$41:$A$44</formula1>
    </dataValidation>
    <dataValidation type="list" allowBlank="1" showErrorMessage="1" errorTitle="Valor inválido" error="Seleccione una opción de la lista desplegable" sqref="M10:M202">
      <formula1>Listas!$A$48:$A$50</formula1>
    </dataValidation>
    <dataValidation type="list" allowBlank="1" showErrorMessage="1" errorTitle="Valor inválido" error="Seleccione una opción de la lista desplegable" sqref="M3:M202">
      <formula1>Listas!$A$48:$A$50</formula1>
    </dataValidation>
    <dataValidation type="list" allowBlank="1" showErrorMessage="1" errorTitle="Valor inválido" error="Seleccione una opción de la lista desplegable" sqref="N10:N202">
      <formula1>Listas!$A$54:$A$56</formula1>
    </dataValidation>
    <dataValidation type="list" allowBlank="1" showErrorMessage="1" errorTitle="Valor inválido" error="Seleccione una opción de la lista desplegable" sqref="N3:N202">
      <formula1>Listas!$A$54:$A$56</formula1>
    </dataValidation>
    <dataValidation type="list" allowBlank="1" showErrorMessage="1" errorTitle="Valor inválido" error="Seleccione una opción de la lista desplegable" sqref="O10:O202">
      <formula1>Listas!$A$60:$A$62</formula1>
    </dataValidation>
    <dataValidation type="list" allowBlank="1" showErrorMessage="1" errorTitle="Valor inválido" error="Seleccione una opción de la lista desplegable" sqref="O3:O202">
      <formula1>Listas!$A$60:$A$62</formula1>
    </dataValidation>
    <dataValidation type="list" allowBlank="1" showErrorMessage="1" errorTitle="Valor inválido" error="Seleccione una opción de la lista desplegable" sqref="P10:P202">
      <formula1>Listas!$A$66:$A$69</formula1>
    </dataValidation>
    <dataValidation type="list" allowBlank="1" showErrorMessage="1" errorTitle="Valor inválido" error="Seleccione una opción de la lista desplegable" sqref="P3:P202">
      <formula1>Listas!$A$66:$A$69</formula1>
    </dataValidation>
    <dataValidation type="list" allowBlank="1" showErrorMessage="1" errorTitle="Valor inválido" error="Seleccione una opción de la lista desplegable" sqref="Q10:Q202">
      <formula1>Listas!$A$73:$A$76</formula1>
    </dataValidation>
    <dataValidation type="list" allowBlank="1" showErrorMessage="1" errorTitle="Valor inválido" error="Seleccione una opción de la lista desplegable" sqref="Q3:Q202">
      <formula1>Listas!$A$73:$A$76</formula1>
    </dataValidation>
    <dataValidation type="list" allowBlank="1" sqref="T10:T202">
      <formula1>"Incluida,Lista de espera,Excluida,Pendiente revisión"</formula1>
    </dataValidation>
    <dataValidation type="list" allowBlank="1" sqref="T3:T202">
      <formula1>"Incluida,Lista de espera,Excluida,Pendiente revisión"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FormatPr defaultRowHeight="15" outlineLevelRow="0" outlineLevelCol="0" x14ac:dyDescent="55"/>
  <cols>
    <col min="1" max="1" width="32" customWidth="1"/>
    <col min="2" max="2" width="10" customWidth="1"/>
    <col min="3" max="3" width="54" customWidth="1"/>
    <col min="4" max="4" width="18" customWidth="1"/>
  </cols>
  <sheetData>
    <row r="1" ht="26" customHeight="1" spans="1:4" x14ac:dyDescent="0.25">
      <c r="A1" s="1" t="s">
        <v>23</v>
      </c>
      <c r="B1" s="1"/>
      <c r="C1" s="1"/>
      <c r="D1" s="1"/>
    </row>
    <row r="3" ht="22" customHeight="1" spans="1:4" x14ac:dyDescent="0.25">
      <c r="A3" s="19" t="s">
        <v>24</v>
      </c>
      <c r="B3" s="19"/>
      <c r="C3" s="19"/>
      <c r="D3" s="19"/>
    </row>
    <row r="4" ht="16" customHeight="1" spans="1:4" x14ac:dyDescent="0.25">
      <c r="A4" s="20" t="s">
        <v>25</v>
      </c>
      <c r="B4" s="20"/>
      <c r="C4" s="20"/>
      <c r="D4" s="20"/>
    </row>
    <row r="5" ht="16" customHeight="1" spans="1:4" x14ac:dyDescent="0.25">
      <c r="A5" s="21" t="s">
        <v>26</v>
      </c>
      <c r="B5" s="21"/>
      <c r="C5" s="21"/>
      <c r="D5" s="21"/>
    </row>
    <row r="6" ht="16" customHeight="1" spans="1:4" x14ac:dyDescent="0.25">
      <c r="A6" s="20" t="s">
        <v>27</v>
      </c>
      <c r="B6" s="20"/>
      <c r="C6" s="20"/>
      <c r="D6" s="20"/>
    </row>
    <row r="7" ht="16" customHeight="1" spans="1:4" x14ac:dyDescent="0.25">
      <c r="A7" s="21" t="s">
        <v>28</v>
      </c>
      <c r="B7" s="21"/>
      <c r="C7" s="21"/>
      <c r="D7" s="21"/>
    </row>
    <row r="8" ht="16" customHeight="1" spans="1:4" x14ac:dyDescent="0.25">
      <c r="A8" s="20" t="s">
        <v>29</v>
      </c>
      <c r="B8" s="20"/>
      <c r="C8" s="20"/>
      <c r="D8" s="20"/>
    </row>
    <row r="9" ht="16" customHeight="1" spans="1:4" x14ac:dyDescent="0.25">
      <c r="A9" s="21" t="s">
        <v>30</v>
      </c>
      <c r="B9" s="21"/>
      <c r="C9" s="21"/>
      <c r="D9" s="21"/>
    </row>
    <row r="10" ht="16" customHeight="1" spans="1:4" x14ac:dyDescent="0.25">
      <c r="A10" s="20" t="s">
        <v>31</v>
      </c>
      <c r="B10" s="20"/>
      <c r="C10" s="20"/>
      <c r="D10" s="20"/>
    </row>
    <row r="11" ht="16" customHeight="1" spans="1:4" x14ac:dyDescent="0.25">
      <c r="A11" s="21" t="s">
        <v>32</v>
      </c>
      <c r="B11" s="21"/>
      <c r="C11" s="21"/>
      <c r="D11" s="21"/>
    </row>
    <row r="13" ht="22" customHeight="1" spans="1:4" x14ac:dyDescent="0.25">
      <c r="A13" s="19" t="s">
        <v>33</v>
      </c>
      <c r="B13" s="19"/>
      <c r="C13" s="19"/>
      <c r="D13" s="19"/>
    </row>
    <row r="14" ht="18" customHeight="1" spans="1:4" x14ac:dyDescent="0.25">
      <c r="A14" s="22" t="s">
        <v>34</v>
      </c>
      <c r="B14" s="22" t="s">
        <v>35</v>
      </c>
      <c r="C14" s="22" t="s">
        <v>19</v>
      </c>
      <c r="D14" s="22" t="s">
        <v>36</v>
      </c>
    </row>
    <row r="15" ht="16" customHeight="1" spans="1:4" x14ac:dyDescent="0.25">
      <c r="A15" s="23" t="s">
        <v>37</v>
      </c>
      <c r="B15" s="24" t="s">
        <v>38</v>
      </c>
      <c r="C15" s="25" t="s">
        <v>39</v>
      </c>
      <c r="D15" s="25" t="s">
        <v>40</v>
      </c>
    </row>
    <row r="16" ht="16" customHeight="1" spans="1:4" x14ac:dyDescent="0.25">
      <c r="A16" s="26" t="s">
        <v>41</v>
      </c>
      <c r="B16" s="27" t="s">
        <v>42</v>
      </c>
      <c r="C16" s="28" t="s">
        <v>43</v>
      </c>
      <c r="D16" s="28" t="s">
        <v>44</v>
      </c>
    </row>
    <row r="17" ht="16" customHeight="1" spans="1:4" x14ac:dyDescent="0.25">
      <c r="A17" s="23" t="s">
        <v>45</v>
      </c>
      <c r="B17" s="24" t="s">
        <v>46</v>
      </c>
      <c r="C17" s="25" t="s">
        <v>47</v>
      </c>
      <c r="D17" s="25" t="s">
        <v>48</v>
      </c>
    </row>
    <row r="18" ht="16" customHeight="1" spans="1:4" x14ac:dyDescent="0.25">
      <c r="A18" s="26" t="s">
        <v>49</v>
      </c>
      <c r="B18" s="27" t="s">
        <v>50</v>
      </c>
      <c r="C18" s="28" t="s">
        <v>51</v>
      </c>
      <c r="D18" s="28" t="s">
        <v>52</v>
      </c>
    </row>
    <row r="20" ht="22" customHeight="1" spans="1:4" x14ac:dyDescent="0.25">
      <c r="A20" s="19" t="s">
        <v>53</v>
      </c>
      <c r="B20" s="19"/>
      <c r="C20" s="19"/>
      <c r="D20" s="19"/>
    </row>
    <row r="21" ht="18" customHeight="1" spans="1:3" x14ac:dyDescent="0.25">
      <c r="A21" s="22" t="s">
        <v>54</v>
      </c>
      <c r="B21" s="22" t="s">
        <v>35</v>
      </c>
      <c r="C21" s="22" t="s">
        <v>22</v>
      </c>
    </row>
    <row r="22" ht="16" customHeight="1" spans="1:3" x14ac:dyDescent="0.25">
      <c r="A22" s="23" t="s">
        <v>55</v>
      </c>
      <c r="B22" s="24">
        <v>20</v>
      </c>
      <c r="C22" s="25" t="s">
        <v>56</v>
      </c>
    </row>
    <row r="23" ht="16" customHeight="1" spans="1:3" x14ac:dyDescent="0.25">
      <c r="A23" s="26" t="s">
        <v>57</v>
      </c>
      <c r="B23" s="27">
        <v>17</v>
      </c>
      <c r="C23" s="28" t="s">
        <v>56</v>
      </c>
    </row>
    <row r="24" ht="16" customHeight="1" spans="1:3" x14ac:dyDescent="0.25">
      <c r="A24" s="23" t="s">
        <v>58</v>
      </c>
      <c r="B24" s="24">
        <v>13</v>
      </c>
      <c r="C24" s="25" t="s">
        <v>56</v>
      </c>
    </row>
    <row r="25" ht="16" customHeight="1" spans="1:3" x14ac:dyDescent="0.25">
      <c r="A25" s="26" t="s">
        <v>59</v>
      </c>
      <c r="B25" s="27">
        <v>9</v>
      </c>
      <c r="C25" s="28" t="s">
        <v>56</v>
      </c>
    </row>
    <row r="26" ht="16" customHeight="1" spans="1:3" x14ac:dyDescent="0.25">
      <c r="A26" s="23" t="s">
        <v>60</v>
      </c>
      <c r="B26" s="24">
        <v>7</v>
      </c>
      <c r="C26" s="25" t="s">
        <v>56</v>
      </c>
    </row>
    <row r="27" ht="16" customHeight="1" spans="1:3" x14ac:dyDescent="0.25">
      <c r="A27" s="26" t="s">
        <v>61</v>
      </c>
      <c r="B27" s="27">
        <v>4</v>
      </c>
      <c r="C27" s="28" t="s">
        <v>56</v>
      </c>
    </row>
    <row r="29" ht="22" customHeight="1" spans="1:4" x14ac:dyDescent="0.25">
      <c r="A29" s="19" t="s">
        <v>62</v>
      </c>
      <c r="B29" s="19"/>
      <c r="C29" s="19"/>
      <c r="D29" s="19"/>
    </row>
    <row r="30" ht="18" customHeight="1" spans="1:3" x14ac:dyDescent="0.25">
      <c r="A30" s="22" t="s">
        <v>54</v>
      </c>
      <c r="B30" s="22" t="s">
        <v>35</v>
      </c>
      <c r="C30" s="22" t="s">
        <v>22</v>
      </c>
    </row>
    <row r="31" ht="16" customHeight="1" spans="1:3" x14ac:dyDescent="0.25">
      <c r="A31" s="23" t="s">
        <v>63</v>
      </c>
      <c r="B31" s="24">
        <v>20</v>
      </c>
      <c r="C31" s="25" t="s">
        <v>56</v>
      </c>
    </row>
    <row r="32" ht="16" customHeight="1" spans="1:3" x14ac:dyDescent="0.25">
      <c r="A32" s="26" t="s">
        <v>64</v>
      </c>
      <c r="B32" s="27">
        <v>16</v>
      </c>
      <c r="C32" s="28" t="s">
        <v>56</v>
      </c>
    </row>
    <row r="33" ht="16" customHeight="1" spans="1:3" x14ac:dyDescent="0.25">
      <c r="A33" s="23" t="s">
        <v>65</v>
      </c>
      <c r="B33" s="24">
        <v>13</v>
      </c>
      <c r="C33" s="25" t="s">
        <v>56</v>
      </c>
    </row>
    <row r="34" ht="16" customHeight="1" spans="1:3" x14ac:dyDescent="0.25">
      <c r="A34" s="26" t="s">
        <v>66</v>
      </c>
      <c r="B34" s="27">
        <v>9</v>
      </c>
      <c r="C34" s="28" t="s">
        <v>56</v>
      </c>
    </row>
    <row r="35" ht="16" customHeight="1" spans="1:3" x14ac:dyDescent="0.25">
      <c r="A35" s="23" t="s">
        <v>67</v>
      </c>
      <c r="B35" s="24">
        <v>4</v>
      </c>
      <c r="C35" s="25" t="s">
        <v>56</v>
      </c>
    </row>
    <row r="36" ht="16" customHeight="1" spans="1:3" x14ac:dyDescent="0.25">
      <c r="A36" s="26" t="s">
        <v>68</v>
      </c>
      <c r="B36" s="27">
        <v>0</v>
      </c>
      <c r="C36" s="28" t="s">
        <v>56</v>
      </c>
    </row>
    <row r="38" ht="22" customHeight="1" spans="1:4" x14ac:dyDescent="0.25">
      <c r="A38" s="19" t="s">
        <v>69</v>
      </c>
      <c r="B38" s="19"/>
      <c r="C38" s="19"/>
      <c r="D38" s="19"/>
    </row>
    <row r="39" ht="18" customHeight="1" spans="1:3" x14ac:dyDescent="0.25">
      <c r="A39" s="22" t="s">
        <v>54</v>
      </c>
      <c r="B39" s="22" t="s">
        <v>35</v>
      </c>
      <c r="C39" s="22" t="s">
        <v>22</v>
      </c>
    </row>
    <row r="40" ht="16" customHeight="1" spans="1:3" x14ac:dyDescent="0.25">
      <c r="A40" s="23" t="s">
        <v>70</v>
      </c>
      <c r="B40" s="24">
        <v>15</v>
      </c>
      <c r="C40" s="25" t="s">
        <v>56</v>
      </c>
    </row>
    <row r="41" ht="16" customHeight="1" spans="1:3" x14ac:dyDescent="0.25">
      <c r="A41" s="26" t="s">
        <v>71</v>
      </c>
      <c r="B41" s="27">
        <v>11</v>
      </c>
      <c r="C41" s="28" t="s">
        <v>56</v>
      </c>
    </row>
    <row r="42" ht="16" customHeight="1" spans="1:3" x14ac:dyDescent="0.25">
      <c r="A42" s="23" t="s">
        <v>72</v>
      </c>
      <c r="B42" s="24">
        <v>7</v>
      </c>
      <c r="C42" s="25" t="s">
        <v>56</v>
      </c>
    </row>
    <row r="43" ht="16" customHeight="1" spans="1:3" x14ac:dyDescent="0.25">
      <c r="A43" s="26" t="s">
        <v>73</v>
      </c>
      <c r="B43" s="27">
        <v>3</v>
      </c>
      <c r="C43" s="28" t="s">
        <v>56</v>
      </c>
    </row>
    <row r="44" ht="16" customHeight="1" spans="1:3" x14ac:dyDescent="0.25">
      <c r="A44" s="23" t="s">
        <v>74</v>
      </c>
      <c r="B44" s="24">
        <v>1</v>
      </c>
      <c r="C44" s="25" t="s">
        <v>56</v>
      </c>
    </row>
    <row r="46" ht="22" customHeight="1" spans="1:4" x14ac:dyDescent="0.25">
      <c r="A46" s="19" t="s">
        <v>75</v>
      </c>
      <c r="B46" s="19"/>
      <c r="C46" s="19"/>
      <c r="D46" s="19"/>
    </row>
    <row r="47" ht="18" customHeight="1" spans="1:3" x14ac:dyDescent="0.25">
      <c r="A47" s="22" t="s">
        <v>54</v>
      </c>
      <c r="B47" s="22" t="s">
        <v>35</v>
      </c>
      <c r="C47" s="22" t="s">
        <v>22</v>
      </c>
    </row>
    <row r="48" ht="16" customHeight="1" spans="1:3" x14ac:dyDescent="0.25">
      <c r="A48" s="23" t="s">
        <v>76</v>
      </c>
      <c r="B48" s="24">
        <v>15</v>
      </c>
      <c r="C48" s="25" t="s">
        <v>56</v>
      </c>
    </row>
    <row r="49" ht="16" customHeight="1" spans="1:3" x14ac:dyDescent="0.25">
      <c r="A49" s="26" t="s">
        <v>77</v>
      </c>
      <c r="B49" s="27">
        <v>12</v>
      </c>
      <c r="C49" s="28" t="s">
        <v>56</v>
      </c>
    </row>
    <row r="50" ht="16" customHeight="1" spans="1:3" x14ac:dyDescent="0.25">
      <c r="A50" s="23" t="s">
        <v>78</v>
      </c>
      <c r="B50" s="24">
        <v>8</v>
      </c>
      <c r="C50" s="25" t="s">
        <v>56</v>
      </c>
    </row>
    <row r="51" ht="16" customHeight="1" spans="1:3" x14ac:dyDescent="0.25">
      <c r="A51" s="26" t="s">
        <v>79</v>
      </c>
      <c r="B51" s="27">
        <v>5</v>
      </c>
      <c r="C51" s="28" t="s">
        <v>56</v>
      </c>
    </row>
    <row r="53" ht="22" customHeight="1" spans="1:4" x14ac:dyDescent="0.25">
      <c r="A53" s="19" t="s">
        <v>80</v>
      </c>
      <c r="B53" s="19"/>
      <c r="C53" s="19"/>
      <c r="D53" s="19"/>
    </row>
    <row r="54" ht="18" customHeight="1" spans="1:3" x14ac:dyDescent="0.25">
      <c r="A54" s="22" t="s">
        <v>54</v>
      </c>
      <c r="B54" s="22" t="s">
        <v>35</v>
      </c>
      <c r="C54" s="22" t="s">
        <v>22</v>
      </c>
    </row>
    <row r="55" ht="16" customHeight="1" spans="1:3" x14ac:dyDescent="0.25">
      <c r="A55" s="23" t="s">
        <v>81</v>
      </c>
      <c r="B55" s="24">
        <v>5</v>
      </c>
      <c r="C55" s="25" t="s">
        <v>56</v>
      </c>
    </row>
    <row r="56" ht="16" customHeight="1" spans="1:3" x14ac:dyDescent="0.25">
      <c r="A56" s="26" t="s">
        <v>82</v>
      </c>
      <c r="B56" s="27">
        <v>3</v>
      </c>
      <c r="C56" s="28" t="s">
        <v>56</v>
      </c>
    </row>
    <row r="57" ht="16" customHeight="1" spans="1:3" x14ac:dyDescent="0.25">
      <c r="A57" s="23" t="s">
        <v>83</v>
      </c>
      <c r="B57" s="24">
        <v>1</v>
      </c>
      <c r="C57" s="25" t="s">
        <v>56</v>
      </c>
    </row>
    <row r="59" ht="22" customHeight="1" spans="1:4" x14ac:dyDescent="0.25">
      <c r="A59" s="19" t="s">
        <v>84</v>
      </c>
      <c r="B59" s="19"/>
      <c r="C59" s="19"/>
      <c r="D59" s="19"/>
    </row>
    <row r="60" ht="18" customHeight="1" spans="1:3" x14ac:dyDescent="0.25">
      <c r="A60" s="22" t="s">
        <v>54</v>
      </c>
      <c r="B60" s="22" t="s">
        <v>35</v>
      </c>
      <c r="C60" s="22" t="s">
        <v>22</v>
      </c>
    </row>
    <row r="61" ht="16" customHeight="1" spans="1:3" x14ac:dyDescent="0.25">
      <c r="A61" s="23" t="s">
        <v>85</v>
      </c>
      <c r="B61" s="24">
        <v>5</v>
      </c>
      <c r="C61" s="25" t="s">
        <v>56</v>
      </c>
    </row>
    <row r="62" ht="16" customHeight="1" spans="1:3" x14ac:dyDescent="0.25">
      <c r="A62" s="26" t="s">
        <v>86</v>
      </c>
      <c r="B62" s="27">
        <v>3</v>
      </c>
      <c r="C62" s="28" t="s">
        <v>56</v>
      </c>
    </row>
    <row r="63" ht="16" customHeight="1" spans="1:3" x14ac:dyDescent="0.25">
      <c r="A63" s="23" t="s">
        <v>87</v>
      </c>
      <c r="B63" s="24">
        <v>1</v>
      </c>
      <c r="C63" s="25" t="s">
        <v>56</v>
      </c>
    </row>
    <row r="65" ht="22" customHeight="1" spans="1:4" x14ac:dyDescent="0.25">
      <c r="A65" s="19" t="s">
        <v>88</v>
      </c>
      <c r="B65" s="19"/>
      <c r="C65" s="19"/>
      <c r="D65" s="19"/>
    </row>
    <row r="66" ht="18" customHeight="1" spans="1:3" x14ac:dyDescent="0.25">
      <c r="A66" s="22" t="s">
        <v>54</v>
      </c>
      <c r="B66" s="22" t="s">
        <v>35</v>
      </c>
      <c r="C66" s="22" t="s">
        <v>22</v>
      </c>
    </row>
    <row r="67" ht="16" customHeight="1" spans="1:3" x14ac:dyDescent="0.25">
      <c r="A67" s="23" t="s">
        <v>89</v>
      </c>
      <c r="B67" s="24">
        <v>5</v>
      </c>
      <c r="C67" s="25" t="s">
        <v>56</v>
      </c>
    </row>
    <row r="68" ht="16" customHeight="1" spans="1:3" x14ac:dyDescent="0.25">
      <c r="A68" s="26" t="s">
        <v>90</v>
      </c>
      <c r="B68" s="27">
        <v>3</v>
      </c>
      <c r="C68" s="28" t="s">
        <v>56</v>
      </c>
    </row>
    <row r="69" ht="16" customHeight="1" spans="1:3" x14ac:dyDescent="0.25">
      <c r="A69" s="23" t="s">
        <v>91</v>
      </c>
      <c r="B69" s="24">
        <v>1</v>
      </c>
      <c r="C69" s="25" t="s">
        <v>56</v>
      </c>
    </row>
    <row r="71" ht="22" customHeight="1" spans="1:4" x14ac:dyDescent="0.25">
      <c r="A71" s="19" t="s">
        <v>92</v>
      </c>
      <c r="B71" s="19"/>
      <c r="C71" s="19"/>
      <c r="D71" s="19"/>
    </row>
    <row r="72" ht="18" customHeight="1" spans="1:3" x14ac:dyDescent="0.25">
      <c r="A72" s="22" t="s">
        <v>54</v>
      </c>
      <c r="B72" s="22" t="s">
        <v>35</v>
      </c>
      <c r="C72" s="22" t="s">
        <v>22</v>
      </c>
    </row>
    <row r="73" ht="16" customHeight="1" spans="1:3" x14ac:dyDescent="0.25">
      <c r="A73" s="23" t="s">
        <v>93</v>
      </c>
      <c r="B73" s="24">
        <v>10</v>
      </c>
      <c r="C73" s="25" t="s">
        <v>56</v>
      </c>
    </row>
    <row r="74" ht="16" customHeight="1" spans="1:3" x14ac:dyDescent="0.25">
      <c r="A74" s="26" t="s">
        <v>94</v>
      </c>
      <c r="B74" s="27">
        <v>8</v>
      </c>
      <c r="C74" s="28" t="s">
        <v>56</v>
      </c>
    </row>
    <row r="75" ht="16" customHeight="1" spans="1:3" x14ac:dyDescent="0.25">
      <c r="A75" s="23" t="s">
        <v>95</v>
      </c>
      <c r="B75" s="24">
        <v>5</v>
      </c>
      <c r="C75" s="25" t="s">
        <v>56</v>
      </c>
    </row>
    <row r="76" ht="16" customHeight="1" spans="1:3" x14ac:dyDescent="0.25">
      <c r="A76" s="26" t="s">
        <v>96</v>
      </c>
      <c r="B76" s="27">
        <v>2</v>
      </c>
      <c r="C76" s="28" t="s">
        <v>56</v>
      </c>
    </row>
    <row r="78" ht="22" customHeight="1" spans="1:4" x14ac:dyDescent="0.25">
      <c r="A78" s="19" t="s">
        <v>97</v>
      </c>
      <c r="B78" s="19"/>
      <c r="C78" s="19"/>
      <c r="D78" s="19"/>
    </row>
    <row r="79" ht="18" customHeight="1" spans="1:3" x14ac:dyDescent="0.25">
      <c r="A79" s="22" t="s">
        <v>54</v>
      </c>
      <c r="B79" s="22" t="s">
        <v>35</v>
      </c>
      <c r="C79" s="22" t="s">
        <v>22</v>
      </c>
    </row>
    <row r="80" ht="16" customHeight="1" spans="1:3" x14ac:dyDescent="0.25">
      <c r="A80" s="23" t="s">
        <v>98</v>
      </c>
      <c r="B80" s="24">
        <v>5</v>
      </c>
      <c r="C80" s="25" t="s">
        <v>56</v>
      </c>
    </row>
    <row r="81" ht="16" customHeight="1" spans="1:3" x14ac:dyDescent="0.25">
      <c r="A81" s="26" t="s">
        <v>99</v>
      </c>
      <c r="B81" s="27">
        <v>3</v>
      </c>
      <c r="C81" s="28" t="s">
        <v>56</v>
      </c>
    </row>
    <row r="82" ht="16" customHeight="1" spans="1:3" x14ac:dyDescent="0.25">
      <c r="A82" s="23" t="s">
        <v>100</v>
      </c>
      <c r="B82" s="24">
        <v>1</v>
      </c>
      <c r="C82" s="25" t="s">
        <v>56</v>
      </c>
    </row>
    <row r="83" ht="16" customHeight="1" spans="1:3" x14ac:dyDescent="0.25">
      <c r="A83" s="26" t="s">
        <v>101</v>
      </c>
      <c r="B83" s="27">
        <v>0</v>
      </c>
      <c r="C83" s="28" t="s">
        <v>56</v>
      </c>
    </row>
    <row r="85" ht="22" customHeight="1" spans="1:4" x14ac:dyDescent="0.25">
      <c r="A85" s="19" t="s">
        <v>102</v>
      </c>
      <c r="B85" s="19"/>
      <c r="C85" s="19"/>
      <c r="D85" s="19"/>
    </row>
    <row r="86" ht="18" customHeight="1" spans="1:4" x14ac:dyDescent="0.25">
      <c r="A86" s="22" t="s">
        <v>6</v>
      </c>
      <c r="B86" s="22" t="s">
        <v>103</v>
      </c>
      <c r="C86" s="22" t="s">
        <v>104</v>
      </c>
      <c r="D86" s="22" t="s">
        <v>22</v>
      </c>
    </row>
    <row r="87" ht="16" customHeight="1" spans="1:4" x14ac:dyDescent="0.25">
      <c r="A87" s="23" t="s">
        <v>105</v>
      </c>
      <c r="B87" s="24">
        <v>30</v>
      </c>
      <c r="C87" s="25">
        <v>25</v>
      </c>
      <c r="D87" s="25" t="s">
        <v>56</v>
      </c>
    </row>
    <row r="88" ht="16" customHeight="1" spans="1:4" x14ac:dyDescent="0.25">
      <c r="A88" s="26" t="s">
        <v>106</v>
      </c>
      <c r="B88" s="27">
        <v>25</v>
      </c>
      <c r="C88" s="28">
        <v>20</v>
      </c>
      <c r="D88" s="28" t="s">
        <v>56</v>
      </c>
    </row>
    <row r="89" ht="16" customHeight="1" spans="1:4" x14ac:dyDescent="0.25">
      <c r="A89" s="23" t="s">
        <v>107</v>
      </c>
      <c r="B89" s="24">
        <v>20</v>
      </c>
      <c r="C89" s="25">
        <v>15</v>
      </c>
      <c r="D89" s="25" t="s">
        <v>56</v>
      </c>
    </row>
    <row r="90" ht="16" customHeight="1" spans="1:4" x14ac:dyDescent="0.25">
      <c r="A90" s="26" t="s">
        <v>108</v>
      </c>
      <c r="B90" s="27">
        <v>20</v>
      </c>
      <c r="C90" s="28">
        <v>15</v>
      </c>
      <c r="D90" s="28" t="s">
        <v>56</v>
      </c>
    </row>
    <row r="91" ht="16" customHeight="1" spans="1:4" x14ac:dyDescent="0.25">
      <c r="A91" s="23" t="s">
        <v>109</v>
      </c>
      <c r="B91" s="24">
        <v>18</v>
      </c>
      <c r="C91" s="25">
        <v>13</v>
      </c>
      <c r="D91" s="25" t="s">
        <v>56</v>
      </c>
    </row>
    <row r="92" ht="16" customHeight="1" spans="1:4" x14ac:dyDescent="0.25">
      <c r="A92" s="26" t="s">
        <v>110</v>
      </c>
      <c r="B92" s="27">
        <v>15</v>
      </c>
      <c r="C92" s="28">
        <v>10</v>
      </c>
      <c r="D92" s="28" t="s">
        <v>56</v>
      </c>
    </row>
    <row r="93" ht="16" customHeight="1" spans="1:4" x14ac:dyDescent="0.25">
      <c r="A93" s="23" t="s">
        <v>111</v>
      </c>
      <c r="B93" s="24">
        <v>13</v>
      </c>
      <c r="C93" s="25">
        <v>10</v>
      </c>
      <c r="D93" s="25" t="s">
        <v>56</v>
      </c>
    </row>
    <row r="94" ht="16" customHeight="1" spans="1:4" x14ac:dyDescent="0.25">
      <c r="A94" s="26" t="s">
        <v>112</v>
      </c>
      <c r="B94" s="27">
        <v>10</v>
      </c>
      <c r="C94" s="28">
        <v>7</v>
      </c>
      <c r="D94" s="28" t="s">
        <v>56</v>
      </c>
    </row>
    <row r="95" ht="16" customHeight="1" spans="1:4" x14ac:dyDescent="0.25">
      <c r="A95" s="23" t="s">
        <v>113</v>
      </c>
      <c r="B95" s="24">
        <v>7</v>
      </c>
      <c r="C95" s="25">
        <v>5</v>
      </c>
      <c r="D95" s="25" t="s">
        <v>114</v>
      </c>
    </row>
    <row r="96" ht="16" customHeight="1" spans="1:4" x14ac:dyDescent="0.25">
      <c r="A96" s="26" t="s">
        <v>115</v>
      </c>
      <c r="B96" s="27">
        <v>158</v>
      </c>
      <c r="C96" s="28">
        <v>120</v>
      </c>
      <c r="D96" s="28" t="s">
        <v>116</v>
      </c>
    </row>
  </sheetData>
  <mergeCells count="21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3:D13"/>
    <mergeCell ref="A20:D20"/>
    <mergeCell ref="A29:D29"/>
    <mergeCell ref="A38:D38"/>
    <mergeCell ref="A46:D46"/>
    <mergeCell ref="A53:D53"/>
    <mergeCell ref="A59:D59"/>
    <mergeCell ref="A65:D65"/>
    <mergeCell ref="A71:D71"/>
    <mergeCell ref="A78:D78"/>
    <mergeCell ref="A85:D8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FormatPr defaultRowHeight="15" outlineLevelRow="0" outlineLevelCol="0" x14ac:dyDescent="55"/>
  <cols>
    <col min="1" max="1" width="35" customWidth="1"/>
    <col min="2" max="2" width="10" customWidth="1"/>
    <col min="3" max="3" width="40" customWidth="1"/>
    <col min="4" max="4" width="10" customWidth="1"/>
  </cols>
  <sheetData>
    <row r="1" ht="20" customHeight="1" spans="1:4" x14ac:dyDescent="0.25">
      <c r="A1" s="19" t="s">
        <v>117</v>
      </c>
      <c r="B1" s="19"/>
      <c r="C1" s="19"/>
      <c r="D1" s="19"/>
    </row>
    <row r="2" ht="16" customHeight="1" spans="1:2" x14ac:dyDescent="0.25">
      <c r="A2" s="22" t="s">
        <v>6</v>
      </c>
      <c r="B2" s="22" t="s">
        <v>56</v>
      </c>
    </row>
    <row r="3" ht="16" customHeight="1" spans="1:2" x14ac:dyDescent="0.25">
      <c r="A3" s="29" t="s">
        <v>118</v>
      </c>
      <c r="B3" s="11" t="s">
        <v>56</v>
      </c>
    </row>
    <row r="4" ht="16" customHeight="1" spans="1:2" x14ac:dyDescent="0.25">
      <c r="A4" s="30" t="s">
        <v>119</v>
      </c>
      <c r="B4" s="18" t="s">
        <v>56</v>
      </c>
    </row>
    <row r="5" ht="16" customHeight="1" spans="1:2" x14ac:dyDescent="0.25">
      <c r="A5" s="29" t="s">
        <v>120</v>
      </c>
      <c r="B5" s="11" t="s">
        <v>56</v>
      </c>
    </row>
    <row r="6" ht="16" customHeight="1" spans="1:2" x14ac:dyDescent="0.25">
      <c r="A6" s="30" t="s">
        <v>121</v>
      </c>
      <c r="B6" s="18" t="s">
        <v>56</v>
      </c>
    </row>
    <row r="7" ht="16" customHeight="1" spans="1:2" x14ac:dyDescent="0.25">
      <c r="A7" s="29" t="s">
        <v>122</v>
      </c>
      <c r="B7" s="11" t="s">
        <v>56</v>
      </c>
    </row>
    <row r="8" ht="16" customHeight="1" spans="1:2" x14ac:dyDescent="0.25">
      <c r="A8" s="30" t="s">
        <v>123</v>
      </c>
      <c r="B8" s="18" t="s">
        <v>56</v>
      </c>
    </row>
    <row r="9" ht="16" customHeight="1" spans="1:2" x14ac:dyDescent="0.25">
      <c r="A9" s="29" t="s">
        <v>124</v>
      </c>
      <c r="B9" s="11" t="s">
        <v>56</v>
      </c>
    </row>
    <row r="10" ht="16" customHeight="1" spans="1:2" x14ac:dyDescent="0.25">
      <c r="A10" s="30" t="s">
        <v>125</v>
      </c>
      <c r="B10" s="18" t="s">
        <v>56</v>
      </c>
    </row>
    <row r="11" ht="16" customHeight="1" spans="1:2" x14ac:dyDescent="0.25">
      <c r="A11" s="29" t="s">
        <v>126</v>
      </c>
      <c r="B11" s="11" t="s">
        <v>56</v>
      </c>
    </row>
    <row r="13" ht="20" customHeight="1" spans="1:4" x14ac:dyDescent="0.25">
      <c r="A13" s="19" t="s">
        <v>53</v>
      </c>
      <c r="B13" s="19"/>
      <c r="C13" s="19"/>
      <c r="D13" s="19"/>
    </row>
    <row r="14" ht="16" customHeight="1" spans="1:2" x14ac:dyDescent="0.25">
      <c r="A14" s="22" t="s">
        <v>127</v>
      </c>
      <c r="B14" s="22" t="s">
        <v>128</v>
      </c>
    </row>
    <row r="15" ht="16" customHeight="1" spans="1:2" x14ac:dyDescent="0.25">
      <c r="A15" s="29" t="s">
        <v>55</v>
      </c>
      <c r="B15" s="11">
        <v>20</v>
      </c>
    </row>
    <row r="16" ht="16" customHeight="1" spans="1:2" x14ac:dyDescent="0.25">
      <c r="A16" s="30" t="s">
        <v>57</v>
      </c>
      <c r="B16" s="18">
        <v>17</v>
      </c>
    </row>
    <row r="17" ht="16" customHeight="1" spans="1:2" x14ac:dyDescent="0.25">
      <c r="A17" s="29" t="s">
        <v>58</v>
      </c>
      <c r="B17" s="11">
        <v>13</v>
      </c>
    </row>
    <row r="18" ht="16" customHeight="1" spans="1:2" x14ac:dyDescent="0.25">
      <c r="A18" s="30" t="s">
        <v>59</v>
      </c>
      <c r="B18" s="18">
        <v>9</v>
      </c>
    </row>
    <row r="19" ht="16" customHeight="1" spans="1:2" x14ac:dyDescent="0.25">
      <c r="A19" s="29" t="s">
        <v>60</v>
      </c>
      <c r="B19" s="11">
        <v>7</v>
      </c>
    </row>
    <row r="20" ht="16" customHeight="1" spans="1:2" x14ac:dyDescent="0.25">
      <c r="A20" s="30" t="s">
        <v>61</v>
      </c>
      <c r="B20" s="18">
        <v>4</v>
      </c>
    </row>
    <row r="22" ht="20" customHeight="1" spans="1:4" x14ac:dyDescent="0.25">
      <c r="A22" s="19" t="s">
        <v>62</v>
      </c>
      <c r="B22" s="19"/>
      <c r="C22" s="19"/>
      <c r="D22" s="19"/>
    </row>
    <row r="23" ht="16" customHeight="1" spans="1:2" x14ac:dyDescent="0.25">
      <c r="A23" s="22" t="s">
        <v>127</v>
      </c>
      <c r="B23" s="22" t="s">
        <v>128</v>
      </c>
    </row>
    <row r="24" ht="16" customHeight="1" spans="1:2" x14ac:dyDescent="0.25">
      <c r="A24" s="29" t="s">
        <v>63</v>
      </c>
      <c r="B24" s="11">
        <v>20</v>
      </c>
    </row>
    <row r="25" ht="16" customHeight="1" spans="1:2" x14ac:dyDescent="0.25">
      <c r="A25" s="30" t="s">
        <v>64</v>
      </c>
      <c r="B25" s="18">
        <v>16</v>
      </c>
    </row>
    <row r="26" ht="16" customHeight="1" spans="1:2" x14ac:dyDescent="0.25">
      <c r="A26" s="29" t="s">
        <v>65</v>
      </c>
      <c r="B26" s="11">
        <v>13</v>
      </c>
    </row>
    <row r="27" ht="16" customHeight="1" spans="1:2" x14ac:dyDescent="0.25">
      <c r="A27" s="30" t="s">
        <v>66</v>
      </c>
      <c r="B27" s="18">
        <v>9</v>
      </c>
    </row>
    <row r="28" ht="16" customHeight="1" spans="1:2" x14ac:dyDescent="0.25">
      <c r="A28" s="29" t="s">
        <v>67</v>
      </c>
      <c r="B28" s="11">
        <v>4</v>
      </c>
    </row>
    <row r="29" ht="16" customHeight="1" spans="1:2" x14ac:dyDescent="0.25">
      <c r="A29" s="30" t="s">
        <v>68</v>
      </c>
      <c r="B29" s="18">
        <v>0</v>
      </c>
    </row>
    <row r="31" ht="20" customHeight="1" spans="1:4" x14ac:dyDescent="0.25">
      <c r="A31" s="19" t="s">
        <v>69</v>
      </c>
      <c r="B31" s="19"/>
      <c r="C31" s="19"/>
      <c r="D31" s="19"/>
    </row>
    <row r="32" ht="16" customHeight="1" spans="1:2" x14ac:dyDescent="0.25">
      <c r="A32" s="22" t="s">
        <v>127</v>
      </c>
      <c r="B32" s="22" t="s">
        <v>128</v>
      </c>
    </row>
    <row r="33" ht="16" customHeight="1" spans="1:2" x14ac:dyDescent="0.25">
      <c r="A33" s="29" t="s">
        <v>70</v>
      </c>
      <c r="B33" s="11">
        <v>15</v>
      </c>
    </row>
    <row r="34" ht="16" customHeight="1" spans="1:2" x14ac:dyDescent="0.25">
      <c r="A34" s="30" t="s">
        <v>71</v>
      </c>
      <c r="B34" s="18">
        <v>11</v>
      </c>
    </row>
    <row r="35" ht="16" customHeight="1" spans="1:2" x14ac:dyDescent="0.25">
      <c r="A35" s="29" t="s">
        <v>72</v>
      </c>
      <c r="B35" s="11">
        <v>7</v>
      </c>
    </row>
    <row r="36" ht="16" customHeight="1" spans="1:2" x14ac:dyDescent="0.25">
      <c r="A36" s="30" t="s">
        <v>73</v>
      </c>
      <c r="B36" s="18">
        <v>3</v>
      </c>
    </row>
    <row r="37" ht="16" customHeight="1" spans="1:2" x14ac:dyDescent="0.25">
      <c r="A37" s="29" t="s">
        <v>74</v>
      </c>
      <c r="B37" s="11">
        <v>1</v>
      </c>
    </row>
    <row r="39" ht="20" customHeight="1" spans="1:4" x14ac:dyDescent="0.25">
      <c r="A39" s="19" t="s">
        <v>75</v>
      </c>
      <c r="B39" s="19"/>
      <c r="C39" s="19"/>
      <c r="D39" s="19"/>
    </row>
    <row r="40" ht="16" customHeight="1" spans="1:2" x14ac:dyDescent="0.25">
      <c r="A40" s="22" t="s">
        <v>127</v>
      </c>
      <c r="B40" s="22" t="s">
        <v>128</v>
      </c>
    </row>
    <row r="41" ht="16" customHeight="1" spans="1:2" x14ac:dyDescent="0.25">
      <c r="A41" s="29" t="s">
        <v>76</v>
      </c>
      <c r="B41" s="11">
        <v>15</v>
      </c>
    </row>
    <row r="42" ht="16" customHeight="1" spans="1:2" x14ac:dyDescent="0.25">
      <c r="A42" s="30" t="s">
        <v>77</v>
      </c>
      <c r="B42" s="18">
        <v>12</v>
      </c>
    </row>
    <row r="43" ht="16" customHeight="1" spans="1:2" x14ac:dyDescent="0.25">
      <c r="A43" s="29" t="s">
        <v>78</v>
      </c>
      <c r="B43" s="11">
        <v>8</v>
      </c>
    </row>
    <row r="44" ht="16" customHeight="1" spans="1:2" x14ac:dyDescent="0.25">
      <c r="A44" s="30" t="s">
        <v>79</v>
      </c>
      <c r="B44" s="18">
        <v>5</v>
      </c>
    </row>
    <row r="46" ht="20" customHeight="1" spans="1:4" x14ac:dyDescent="0.25">
      <c r="A46" s="19" t="s">
        <v>80</v>
      </c>
      <c r="B46" s="19"/>
      <c r="C46" s="19"/>
      <c r="D46" s="19"/>
    </row>
    <row r="47" ht="16" customHeight="1" spans="1:2" x14ac:dyDescent="0.25">
      <c r="A47" s="22" t="s">
        <v>127</v>
      </c>
      <c r="B47" s="22" t="s">
        <v>128</v>
      </c>
    </row>
    <row r="48" ht="16" customHeight="1" spans="1:2" x14ac:dyDescent="0.25">
      <c r="A48" s="29" t="s">
        <v>81</v>
      </c>
      <c r="B48" s="11">
        <v>5</v>
      </c>
    </row>
    <row r="49" ht="16" customHeight="1" spans="1:2" x14ac:dyDescent="0.25">
      <c r="A49" s="30" t="s">
        <v>82</v>
      </c>
      <c r="B49" s="18">
        <v>3</v>
      </c>
    </row>
    <row r="50" ht="16" customHeight="1" spans="1:2" x14ac:dyDescent="0.25">
      <c r="A50" s="29" t="s">
        <v>83</v>
      </c>
      <c r="B50" s="11">
        <v>1</v>
      </c>
    </row>
    <row r="52" ht="20" customHeight="1" spans="1:4" x14ac:dyDescent="0.25">
      <c r="A52" s="19" t="s">
        <v>84</v>
      </c>
      <c r="B52" s="19"/>
      <c r="C52" s="19"/>
      <c r="D52" s="19"/>
    </row>
    <row r="53" ht="16" customHeight="1" spans="1:2" x14ac:dyDescent="0.25">
      <c r="A53" s="22" t="s">
        <v>127</v>
      </c>
      <c r="B53" s="22" t="s">
        <v>128</v>
      </c>
    </row>
    <row r="54" ht="16" customHeight="1" spans="1:2" x14ac:dyDescent="0.25">
      <c r="A54" s="29" t="s">
        <v>85</v>
      </c>
      <c r="B54" s="11">
        <v>5</v>
      </c>
    </row>
    <row r="55" ht="16" customHeight="1" spans="1:2" x14ac:dyDescent="0.25">
      <c r="A55" s="30" t="s">
        <v>86</v>
      </c>
      <c r="B55" s="18">
        <v>3</v>
      </c>
    </row>
    <row r="56" ht="16" customHeight="1" spans="1:2" x14ac:dyDescent="0.25">
      <c r="A56" s="29" t="s">
        <v>87</v>
      </c>
      <c r="B56" s="11">
        <v>1</v>
      </c>
    </row>
    <row r="58" ht="20" customHeight="1" spans="1:4" x14ac:dyDescent="0.25">
      <c r="A58" s="19" t="s">
        <v>88</v>
      </c>
      <c r="B58" s="19"/>
      <c r="C58" s="19"/>
      <c r="D58" s="19"/>
    </row>
    <row r="59" ht="16" customHeight="1" spans="1:2" x14ac:dyDescent="0.25">
      <c r="A59" s="22" t="s">
        <v>127</v>
      </c>
      <c r="B59" s="22" t="s">
        <v>128</v>
      </c>
    </row>
    <row r="60" ht="16" customHeight="1" spans="1:2" x14ac:dyDescent="0.25">
      <c r="A60" s="29" t="s">
        <v>89</v>
      </c>
      <c r="B60" s="11">
        <v>5</v>
      </c>
    </row>
    <row r="61" ht="16" customHeight="1" spans="1:2" x14ac:dyDescent="0.25">
      <c r="A61" s="30" t="s">
        <v>90</v>
      </c>
      <c r="B61" s="18">
        <v>3</v>
      </c>
    </row>
    <row r="62" ht="16" customHeight="1" spans="1:2" x14ac:dyDescent="0.25">
      <c r="A62" s="29" t="s">
        <v>91</v>
      </c>
      <c r="B62" s="11">
        <v>1</v>
      </c>
    </row>
    <row r="64" ht="20" customHeight="1" spans="1:4" x14ac:dyDescent="0.25">
      <c r="A64" s="19" t="s">
        <v>92</v>
      </c>
      <c r="B64" s="19"/>
      <c r="C64" s="19"/>
      <c r="D64" s="19"/>
    </row>
    <row r="65" ht="16" customHeight="1" spans="1:2" x14ac:dyDescent="0.25">
      <c r="A65" s="22" t="s">
        <v>127</v>
      </c>
      <c r="B65" s="22" t="s">
        <v>128</v>
      </c>
    </row>
    <row r="66" ht="16" customHeight="1" spans="1:2" x14ac:dyDescent="0.25">
      <c r="A66" s="29" t="s">
        <v>93</v>
      </c>
      <c r="B66" s="11">
        <v>10</v>
      </c>
    </row>
    <row r="67" ht="16" customHeight="1" spans="1:2" x14ac:dyDescent="0.25">
      <c r="A67" s="30" t="s">
        <v>94</v>
      </c>
      <c r="B67" s="18">
        <v>8</v>
      </c>
    </row>
    <row r="68" ht="16" customHeight="1" spans="1:2" x14ac:dyDescent="0.25">
      <c r="A68" s="29" t="s">
        <v>95</v>
      </c>
      <c r="B68" s="11">
        <v>5</v>
      </c>
    </row>
    <row r="69" ht="16" customHeight="1" spans="1:2" x14ac:dyDescent="0.25">
      <c r="A69" s="30" t="s">
        <v>96</v>
      </c>
      <c r="B69" s="18">
        <v>2</v>
      </c>
    </row>
    <row r="71" ht="20" customHeight="1" spans="1:4" x14ac:dyDescent="0.25">
      <c r="A71" s="19" t="s">
        <v>97</v>
      </c>
      <c r="B71" s="19"/>
      <c r="C71" s="19"/>
      <c r="D71" s="19"/>
    </row>
    <row r="72" ht="16" customHeight="1" spans="1:2" x14ac:dyDescent="0.25">
      <c r="A72" s="22" t="s">
        <v>127</v>
      </c>
      <c r="B72" s="22" t="s">
        <v>128</v>
      </c>
    </row>
    <row r="73" ht="16" customHeight="1" spans="1:2" x14ac:dyDescent="0.25">
      <c r="A73" s="29" t="s">
        <v>98</v>
      </c>
      <c r="B73" s="11">
        <v>5</v>
      </c>
    </row>
    <row r="74" ht="16" customHeight="1" spans="1:2" x14ac:dyDescent="0.25">
      <c r="A74" s="30" t="s">
        <v>99</v>
      </c>
      <c r="B74" s="18">
        <v>3</v>
      </c>
    </row>
    <row r="75" ht="16" customHeight="1" spans="1:2" x14ac:dyDescent="0.25">
      <c r="A75" s="29" t="s">
        <v>100</v>
      </c>
      <c r="B75" s="11">
        <v>1</v>
      </c>
    </row>
    <row r="76" ht="16" customHeight="1" spans="1:2" x14ac:dyDescent="0.25">
      <c r="A76" s="30" t="s">
        <v>101</v>
      </c>
      <c r="B76" s="18">
        <v>0</v>
      </c>
    </row>
    <row r="78" ht="20" customHeight="1" spans="1:4" x14ac:dyDescent="0.25">
      <c r="A78" s="19" t="s">
        <v>129</v>
      </c>
      <c r="B78" s="19"/>
      <c r="C78" s="19"/>
      <c r="D78" s="19"/>
    </row>
    <row r="79" ht="16" customHeight="1" spans="1:2" x14ac:dyDescent="0.25">
      <c r="A79" s="22" t="s">
        <v>130</v>
      </c>
      <c r="B79" s="22" t="s">
        <v>56</v>
      </c>
    </row>
    <row r="80" ht="16" customHeight="1" spans="1:2" x14ac:dyDescent="0.25">
      <c r="A80" s="29" t="s">
        <v>131</v>
      </c>
      <c r="B80" s="11" t="s">
        <v>56</v>
      </c>
    </row>
    <row r="81" ht="16" customHeight="1" spans="1:2" x14ac:dyDescent="0.25">
      <c r="A81" s="30" t="s">
        <v>132</v>
      </c>
      <c r="B81" s="18" t="s">
        <v>56</v>
      </c>
    </row>
    <row r="82" ht="16" customHeight="1" spans="1:2" x14ac:dyDescent="0.25">
      <c r="A82" s="29" t="s">
        <v>133</v>
      </c>
      <c r="B82" s="11" t="s">
        <v>56</v>
      </c>
    </row>
    <row r="83" ht="16" customHeight="1" spans="1:2" x14ac:dyDescent="0.25">
      <c r="A83" s="30" t="s">
        <v>134</v>
      </c>
      <c r="B83" s="18" t="s">
        <v>56</v>
      </c>
    </row>
    <row r="84" ht="16" customHeight="1" spans="1:2" x14ac:dyDescent="0.25">
      <c r="A84" s="29" t="s">
        <v>135</v>
      </c>
      <c r="B84" s="11" t="s">
        <v>56</v>
      </c>
    </row>
    <row r="85" ht="16" customHeight="1" spans="1:2" x14ac:dyDescent="0.25">
      <c r="A85" s="30" t="s">
        <v>136</v>
      </c>
      <c r="B85" s="18" t="s">
        <v>56</v>
      </c>
    </row>
    <row r="86" ht="16" customHeight="1" spans="1:2" x14ac:dyDescent="0.25">
      <c r="A86" s="29" t="s">
        <v>137</v>
      </c>
      <c r="B86" s="11" t="s">
        <v>56</v>
      </c>
    </row>
    <row r="87" ht="16" customHeight="1" spans="1:2" x14ac:dyDescent="0.25">
      <c r="A87" s="30" t="s">
        <v>138</v>
      </c>
      <c r="B87" s="18" t="s">
        <v>56</v>
      </c>
    </row>
    <row r="88" ht="16" customHeight="1" spans="1:2" x14ac:dyDescent="0.25">
      <c r="A88" s="29" t="s">
        <v>139</v>
      </c>
      <c r="B88" s="11" t="s">
        <v>56</v>
      </c>
    </row>
    <row r="90" ht="20" customHeight="1" spans="1:4" x14ac:dyDescent="0.25">
      <c r="A90" s="19" t="s">
        <v>140</v>
      </c>
      <c r="B90" s="19"/>
      <c r="C90" s="19"/>
      <c r="D90" s="19"/>
    </row>
    <row r="91" ht="16" customHeight="1" spans="1:2" x14ac:dyDescent="0.25">
      <c r="A91" s="22" t="s">
        <v>141</v>
      </c>
      <c r="B91" s="22" t="s">
        <v>127</v>
      </c>
    </row>
    <row r="92" ht="16" customHeight="1" spans="1:2" x14ac:dyDescent="0.25">
      <c r="A92" s="29" t="s">
        <v>142</v>
      </c>
      <c r="B92" s="11" t="s">
        <v>143</v>
      </c>
    </row>
    <row r="93" ht="16" customHeight="1" spans="1:2" x14ac:dyDescent="0.25">
      <c r="A93" s="30" t="s">
        <v>51</v>
      </c>
      <c r="B93" s="18" t="s">
        <v>144</v>
      </c>
    </row>
    <row r="94" ht="16" customHeight="1" spans="1:2" x14ac:dyDescent="0.25">
      <c r="A94" s="29" t="s">
        <v>145</v>
      </c>
      <c r="B94" s="11" t="s">
        <v>146</v>
      </c>
    </row>
    <row r="95" ht="16" customHeight="1" spans="1:2" x14ac:dyDescent="0.25">
      <c r="A95" s="30" t="s">
        <v>147</v>
      </c>
      <c r="B95" s="18" t="s">
        <v>148</v>
      </c>
    </row>
  </sheetData>
  <mergeCells count="12">
    <mergeCell ref="A1:D1"/>
    <mergeCell ref="A13:D13"/>
    <mergeCell ref="A22:D22"/>
    <mergeCell ref="A31:D31"/>
    <mergeCell ref="A39:D39"/>
    <mergeCell ref="A46:D46"/>
    <mergeCell ref="A52:D52"/>
    <mergeCell ref="A58:D58"/>
    <mergeCell ref="A64:D64"/>
    <mergeCell ref="A71:D71"/>
    <mergeCell ref="A78:D78"/>
    <mergeCell ref="A90:D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5" width="13" customWidth="1"/>
    <col min="6" max="6" width="18" customWidth="1"/>
    <col min="7" max="7" width="12" customWidth="1"/>
  </cols>
  <sheetData>
    <row r="1" ht="28" customHeight="1" spans="1:7" x14ac:dyDescent="0.25">
      <c r="A1" s="1" t="s">
        <v>149</v>
      </c>
      <c r="B1" s="1"/>
      <c r="C1" s="1"/>
      <c r="D1" s="1"/>
      <c r="E1" s="1"/>
      <c r="F1" s="1"/>
      <c r="G1" s="1"/>
    </row>
    <row r="3" ht="22" customHeight="1" spans="1:3" x14ac:dyDescent="0.25">
      <c r="A3" s="19" t="s">
        <v>150</v>
      </c>
      <c r="B3" s="19"/>
      <c r="C3" s="19"/>
    </row>
    <row r="4" ht="18" customHeight="1" spans="1:2" x14ac:dyDescent="0.25">
      <c r="A4" s="31" t="s">
        <v>151</v>
      </c>
      <c r="B4" s="32">
        <f>COUNTA(LISTADO!D3:D202)</f>
      </c>
    </row>
    <row r="5" ht="18" customHeight="1" spans="1:2" x14ac:dyDescent="0.25">
      <c r="A5" s="30" t="s">
        <v>152</v>
      </c>
      <c r="B5" s="33">
        <f>COUNTIF(LISTADO!S3:S202,"Prioritaria")</f>
      </c>
    </row>
    <row r="6" ht="18" customHeight="1" spans="1:2" x14ac:dyDescent="0.25">
      <c r="A6" s="29" t="s">
        <v>153</v>
      </c>
      <c r="B6" s="34">
        <f>COUNTIF(LISTADO!S3:S202,"Recomendada")</f>
      </c>
    </row>
    <row r="7" ht="18" customHeight="1" spans="1:2" x14ac:dyDescent="0.25">
      <c r="A7" s="30" t="s">
        <v>154</v>
      </c>
      <c r="B7" s="33">
        <f>COUNTIF(LISTADO!S3:S202,"Condicional")</f>
      </c>
    </row>
    <row r="8" ht="18" customHeight="1" spans="1:2" x14ac:dyDescent="0.25">
      <c r="A8" s="29" t="s">
        <v>155</v>
      </c>
      <c r="B8" s="34">
        <f>COUNTIF(LISTADO!S3:S202,"Lista de espera")</f>
      </c>
    </row>
    <row r="9" ht="18" customHeight="1" spans="1:2" x14ac:dyDescent="0.25">
      <c r="A9" s="30" t="s">
        <v>156</v>
      </c>
      <c r="B9" s="35">
        <f>IFERROR(AVERAGEIF(LISTADO!R3:R202,"&gt;0"),"-")</f>
      </c>
    </row>
    <row r="11" ht="22" customHeight="1" spans="1:7" x14ac:dyDescent="0.25">
      <c r="A11" s="19" t="s">
        <v>157</v>
      </c>
      <c r="B11" s="19"/>
      <c r="C11" s="19"/>
      <c r="D11" s="19"/>
      <c r="E11" s="19"/>
      <c r="F11" s="19"/>
      <c r="G11" s="19"/>
    </row>
    <row r="12" ht="20" customHeight="1" spans="1:7" x14ac:dyDescent="0.25">
      <c r="A12" s="36" t="s">
        <v>6</v>
      </c>
      <c r="B12" s="22" t="s">
        <v>158</v>
      </c>
      <c r="C12" s="22" t="s">
        <v>39</v>
      </c>
      <c r="D12" s="22" t="s">
        <v>43</v>
      </c>
      <c r="E12" s="22" t="s">
        <v>47</v>
      </c>
      <c r="F12" s="22" t="s">
        <v>159</v>
      </c>
      <c r="G12" s="22" t="s">
        <v>160</v>
      </c>
    </row>
    <row r="13" ht="18" customHeight="1" spans="1:7" x14ac:dyDescent="0.25">
      <c r="A13" s="30" t="s">
        <v>118</v>
      </c>
      <c r="B13" s="18">
        <f>COUNTIF(LISTADO!F3:F202,"Aves")</f>
      </c>
      <c r="C13" s="18">
        <f>COUNTIFS(LISTADO!F3:F202,"Aves",LISTADO!S3:S202,"Prioritaria")</f>
      </c>
      <c r="D13" s="18">
        <f>COUNTIFS(LISTADO!F3:F202,"Aves",LISTADO!S3:S202,"Recomendada")</f>
      </c>
      <c r="E13" s="18">
        <f>COUNTIFS(LISTADO!F3:F202,"Aves",LISTADO!S3:S202,"Condicional")</f>
      </c>
      <c r="F13" s="18">
        <f>COUNTIFS(LISTADO!F3:F202,"Aves",LISTADO!S3:S202,"Lista de espera")</f>
      </c>
      <c r="G13" s="37">
        <f>IFERROR(AVERAGEIFS(LISTADO!R3:R202,LISTADO!F3:F202,"Aves",LISTADO!R3:R202,"&gt;0"),"-")</f>
      </c>
    </row>
    <row r="14" ht="18" customHeight="1" spans="1:7" x14ac:dyDescent="0.25">
      <c r="A14" s="29" t="s">
        <v>119</v>
      </c>
      <c r="B14" s="11">
        <f>COUNTIF(LISTADO!F3:F202,"Anfibios y Reptiles")</f>
      </c>
      <c r="C14" s="11">
        <f>COUNTIFS(LISTADO!F3:F202,"Anfibios y Reptiles",LISTADO!S3:S202,"Prioritaria")</f>
      </c>
      <c r="D14" s="11">
        <f>COUNTIFS(LISTADO!F3:F202,"Anfibios y Reptiles",LISTADO!S3:S202,"Recomendada")</f>
      </c>
      <c r="E14" s="11">
        <f>COUNTIFS(LISTADO!F3:F202,"Anfibios y Reptiles",LISTADO!S3:S202,"Condicional")</f>
      </c>
      <c r="F14" s="11">
        <f>COUNTIFS(LISTADO!F3:F202,"Anfibios y Reptiles",LISTADO!S3:S202,"Lista de espera")</f>
      </c>
      <c r="G14" s="38">
        <f>IFERROR(AVERAGEIFS(LISTADO!R3:R202,LISTADO!F3:F202,"Anfibios y Reptiles",LISTADO!R3:R202,"&gt;0"),"-")</f>
      </c>
    </row>
    <row r="15" ht="18" customHeight="1" spans="1:7" x14ac:dyDescent="0.25">
      <c r="A15" s="30" t="s">
        <v>120</v>
      </c>
      <c r="B15" s="18">
        <f>COUNTIF(LISTADO!F3:F202,"Mariposas")</f>
      </c>
      <c r="C15" s="18">
        <f>COUNTIFS(LISTADO!F3:F202,"Mariposas",LISTADO!S3:S202,"Prioritaria")</f>
      </c>
      <c r="D15" s="18">
        <f>COUNTIFS(LISTADO!F3:F202,"Mariposas",LISTADO!S3:S202,"Recomendada")</f>
      </c>
      <c r="E15" s="18">
        <f>COUNTIFS(LISTADO!F3:F202,"Mariposas",LISTADO!S3:S202,"Condicional")</f>
      </c>
      <c r="F15" s="18">
        <f>COUNTIFS(LISTADO!F3:F202,"Mariposas",LISTADO!S3:S202,"Lista de espera")</f>
      </c>
      <c r="G15" s="37">
        <f>IFERROR(AVERAGEIFS(LISTADO!R3:R202,LISTADO!F3:F202,"Mariposas",LISTADO!R3:R202,"&gt;0"),"-")</f>
      </c>
    </row>
    <row r="16" ht="18" customHeight="1" spans="1:7" x14ac:dyDescent="0.25">
      <c r="A16" s="29" t="s">
        <v>121</v>
      </c>
      <c r="B16" s="11">
        <f>COUNTIF(LISTADO!F3:F202,"Polillas")</f>
      </c>
      <c r="C16" s="11">
        <f>COUNTIFS(LISTADO!F3:F202,"Polillas",LISTADO!S3:S202,"Prioritaria")</f>
      </c>
      <c r="D16" s="11">
        <f>COUNTIFS(LISTADO!F3:F202,"Polillas",LISTADO!S3:S202,"Recomendada")</f>
      </c>
      <c r="E16" s="11">
        <f>COUNTIFS(LISTADO!F3:F202,"Polillas",LISTADO!S3:S202,"Condicional")</f>
      </c>
      <c r="F16" s="11">
        <f>COUNTIFS(LISTADO!F3:F202,"Polillas",LISTADO!S3:S202,"Lista de espera")</f>
      </c>
      <c r="G16" s="38">
        <f>IFERROR(AVERAGEIFS(LISTADO!R3:R202,LISTADO!F3:F202,"Polillas",LISTADO!R3:R202,"&gt;0"),"-")</f>
      </c>
    </row>
    <row r="17" ht="18" customHeight="1" spans="1:7" x14ac:dyDescent="0.25">
      <c r="A17" s="30" t="s">
        <v>122</v>
      </c>
      <c r="B17" s="18">
        <f>COUNTIF(LISTADO!F3:F202,"Mamíferos")</f>
      </c>
      <c r="C17" s="18">
        <f>COUNTIFS(LISTADO!F3:F202,"Mamíferos",LISTADO!S3:S202,"Prioritaria")</f>
      </c>
      <c r="D17" s="18">
        <f>COUNTIFS(LISTADO!F3:F202,"Mamíferos",LISTADO!S3:S202,"Recomendada")</f>
      </c>
      <c r="E17" s="18">
        <f>COUNTIFS(LISTADO!F3:F202,"Mamíferos",LISTADO!S3:S202,"Condicional")</f>
      </c>
      <c r="F17" s="18">
        <f>COUNTIFS(LISTADO!F3:F202,"Mamíferos",LISTADO!S3:S202,"Lista de espera")</f>
      </c>
      <c r="G17" s="37">
        <f>IFERROR(AVERAGEIFS(LISTADO!R3:R202,LISTADO!F3:F202,"Mamíferos",LISTADO!R3:R202,"&gt;0"),"-")</f>
      </c>
    </row>
    <row r="18" ht="18" customHeight="1" spans="1:7" x14ac:dyDescent="0.25">
      <c r="A18" s="29" t="s">
        <v>123</v>
      </c>
      <c r="B18" s="11">
        <f>COUNTIF(LISTADO!F3:F202,"Animales Domésticos")</f>
      </c>
      <c r="C18" s="11">
        <f>COUNTIFS(LISTADO!F3:F202,"Animales Domésticos",LISTADO!S3:S202,"Prioritaria")</f>
      </c>
      <c r="D18" s="11">
        <f>COUNTIFS(LISTADO!F3:F202,"Animales Domésticos",LISTADO!S3:S202,"Recomendada")</f>
      </c>
      <c r="E18" s="11">
        <f>COUNTIFS(LISTADO!F3:F202,"Animales Domésticos",LISTADO!S3:S202,"Condicional")</f>
      </c>
      <c r="F18" s="11">
        <f>COUNTIFS(LISTADO!F3:F202,"Animales Domésticos",LISTADO!S3:S202,"Lista de espera")</f>
      </c>
      <c r="G18" s="38">
        <f>IFERROR(AVERAGEIFS(LISTADO!R3:R202,LISTADO!F3:F202,"Animales Domésticos",LISTADO!R3:R202,"&gt;0"),"-")</f>
      </c>
    </row>
    <row r="19" ht="18" customHeight="1" spans="1:7" x14ac:dyDescent="0.25">
      <c r="A19" s="30" t="s">
        <v>124</v>
      </c>
      <c r="B19" s="18">
        <f>COUNTIF(LISTADO!F3:F202,"Peces de Agua Dulce")</f>
      </c>
      <c r="C19" s="18">
        <f>COUNTIFS(LISTADO!F3:F202,"Peces de Agua Dulce",LISTADO!S3:S202,"Prioritaria")</f>
      </c>
      <c r="D19" s="18">
        <f>COUNTIFS(LISTADO!F3:F202,"Peces de Agua Dulce",LISTADO!S3:S202,"Recomendada")</f>
      </c>
      <c r="E19" s="18">
        <f>COUNTIFS(LISTADO!F3:F202,"Peces de Agua Dulce",LISTADO!S3:S202,"Condicional")</f>
      </c>
      <c r="F19" s="18">
        <f>COUNTIFS(LISTADO!F3:F202,"Peces de Agua Dulce",LISTADO!S3:S202,"Lista de espera")</f>
      </c>
      <c r="G19" s="37">
        <f>IFERROR(AVERAGEIFS(LISTADO!R3:R202,LISTADO!F3:F202,"Peces de Agua Dulce",LISTADO!R3:R202,"&gt;0"),"-")</f>
      </c>
    </row>
    <row r="20" ht="18" customHeight="1" spans="1:7" x14ac:dyDescent="0.25">
      <c r="A20" s="29" t="s">
        <v>125</v>
      </c>
      <c r="B20" s="11">
        <f>COUNTIF(LISTADO!F3:F202,"Orquídeas")</f>
      </c>
      <c r="C20" s="11">
        <f>COUNTIFS(LISTADO!F3:F202,"Orquídeas",LISTADO!S3:S202,"Prioritaria")</f>
      </c>
      <c r="D20" s="11">
        <f>COUNTIFS(LISTADO!F3:F202,"Orquídeas",LISTADO!S3:S202,"Recomendada")</f>
      </c>
      <c r="E20" s="11">
        <f>COUNTIFS(LISTADO!F3:F202,"Orquídeas",LISTADO!S3:S202,"Condicional")</f>
      </c>
      <c r="F20" s="11">
        <f>COUNTIFS(LISTADO!F3:F202,"Orquídeas",LISTADO!S3:S202,"Lista de espera")</f>
      </c>
      <c r="G20" s="38">
        <f>IFERROR(AVERAGEIFS(LISTADO!R3:R202,LISTADO!F3:F202,"Orquídeas",LISTADO!R3:R202,"&gt;0"),"-")</f>
      </c>
    </row>
    <row r="21" ht="18" customHeight="1" spans="1:7" x14ac:dyDescent="0.25">
      <c r="A21" s="30" t="s">
        <v>126</v>
      </c>
      <c r="B21" s="18">
        <f>COUNTIF(LISTADO!F3:F202,"Árboles Nativos")</f>
      </c>
      <c r="C21" s="18">
        <f>COUNTIFS(LISTADO!F3:F202,"Árboles Nativos",LISTADO!S3:S202,"Prioritaria")</f>
      </c>
      <c r="D21" s="18">
        <f>COUNTIFS(LISTADO!F3:F202,"Árboles Nativos",LISTADO!S3:S202,"Recomendada")</f>
      </c>
      <c r="E21" s="18">
        <f>COUNTIFS(LISTADO!F3:F202,"Árboles Nativos",LISTADO!S3:S202,"Condicional")</f>
      </c>
      <c r="F21" s="18">
        <f>COUNTIFS(LISTADO!F3:F202,"Árboles Nativos",LISTADO!S3:S202,"Lista de espera")</f>
      </c>
      <c r="G21" s="37">
        <f>IFERROR(AVERAGEIFS(LISTADO!R3:R202,LISTADO!F3:F202,"Árboles Nativos",LISTADO!R3:R202,"&gt;0"),"-")</f>
      </c>
    </row>
    <row r="22" ht="20" customHeight="1" spans="1:7" x14ac:dyDescent="0.25">
      <c r="A22" s="39" t="s">
        <v>115</v>
      </c>
      <c r="B22" s="40">
        <f>SUM(B13:B21)</f>
      </c>
      <c r="C22" s="40">
        <f>SUM(C13:C21)</f>
      </c>
      <c r="D22" s="40">
        <f>SUM(D13:D21)</f>
      </c>
      <c r="E22" s="40">
        <f>SUM(E13:E21)</f>
      </c>
      <c r="F22" s="40">
        <f>SUM(F13:F21)</f>
      </c>
      <c r="G22" s="41">
        <f>IFERROR(AVERAGEIF(LISTADO!R3:R202,"&gt;0"),"-")</f>
      </c>
    </row>
    <row r="24" ht="22" customHeight="1" spans="1:6" x14ac:dyDescent="0.25">
      <c r="A24" s="19" t="s">
        <v>161</v>
      </c>
      <c r="B24" s="19"/>
      <c r="C24" s="19"/>
      <c r="D24" s="19"/>
      <c r="E24" s="19"/>
      <c r="F24" s="19"/>
    </row>
    <row r="25" ht="20" customHeight="1" spans="1:6" x14ac:dyDescent="0.25">
      <c r="A25" s="40" t="s">
        <v>162</v>
      </c>
      <c r="B25" s="40" t="s">
        <v>4</v>
      </c>
      <c r="C25" s="40" t="s">
        <v>163</v>
      </c>
      <c r="D25" s="40" t="s">
        <v>6</v>
      </c>
      <c r="E25" s="40" t="s">
        <v>128</v>
      </c>
      <c r="F25" s="40" t="s">
        <v>19</v>
      </c>
    </row>
    <row r="26" ht="18" customHeight="1" spans="1:6" x14ac:dyDescent="0.25">
      <c r="A26" s="11">
        <v>1</v>
      </c>
      <c r="B26" s="29">
        <f>IFERROR(INDEX(LISTADO!$D$3:$D$202,MATCH(LARGE(LISTADO!$R$3:$R$202,1),LISTADO!$R$3:$R$202,0)),"")</f>
      </c>
      <c r="C26" s="29">
        <f>IFERROR(INDEX(LISTADO!$E$3:$E$202,MATCH(LARGE(LISTADO!$R$3:$R$202,1),LISTADO!$R$3:$R$202,0)),"")</f>
      </c>
      <c r="D26" s="29">
        <f>IFERROR(INDEX(LISTADO!$F$3:$F$202,MATCH(LARGE(LISTADO!$R$3:$R$202,1),LISTADO!$R$3:$R$202,0)),"")</f>
      </c>
      <c r="E26" s="10">
        <f>IFERROR(LARGE(LISTADO!$R$3:$R$202,1),"")</f>
      </c>
      <c r="F26" s="11">
        <f>IFERROR(INDEX(LISTADO!$S$3:$S$202,MATCH(LARGE(LISTADO!$R$3:$R$202,1),LISTADO!$R$3:$R$202,0)),"")</f>
      </c>
    </row>
    <row r="27" ht="18" customHeight="1" spans="1:6" x14ac:dyDescent="0.25">
      <c r="A27" s="18">
        <v>2</v>
      </c>
      <c r="B27" s="30">
        <f>IFERROR(INDEX(LISTADO!$D$3:$D$202,MATCH(LARGE(LISTADO!$R$3:$R$202,2),LISTADO!$R$3:$R$202,0)),"")</f>
      </c>
      <c r="C27" s="30">
        <f>IFERROR(INDEX(LISTADO!$E$3:$E$202,MATCH(LARGE(LISTADO!$R$3:$R$202,2),LISTADO!$R$3:$R$202,0)),"")</f>
      </c>
      <c r="D27" s="30">
        <f>IFERROR(INDEX(LISTADO!$F$3:$F$202,MATCH(LARGE(LISTADO!$R$3:$R$202,2),LISTADO!$R$3:$R$202,0)),"")</f>
      </c>
      <c r="E27" s="17">
        <f>IFERROR(LARGE(LISTADO!$R$3:$R$202,2),"")</f>
      </c>
      <c r="F27" s="18">
        <f>IFERROR(INDEX(LISTADO!$S$3:$S$202,MATCH(LARGE(LISTADO!$R$3:$R$202,2),LISTADO!$R$3:$R$202,0)),"")</f>
      </c>
    </row>
    <row r="28" ht="18" customHeight="1" spans="1:6" x14ac:dyDescent="0.25">
      <c r="A28" s="11">
        <v>3</v>
      </c>
      <c r="B28" s="29">
        <f>IFERROR(INDEX(LISTADO!$D$3:$D$202,MATCH(LARGE(LISTADO!$R$3:$R$202,3),LISTADO!$R$3:$R$202,0)),"")</f>
      </c>
      <c r="C28" s="29">
        <f>IFERROR(INDEX(LISTADO!$E$3:$E$202,MATCH(LARGE(LISTADO!$R$3:$R$202,3),LISTADO!$R$3:$R$202,0)),"")</f>
      </c>
      <c r="D28" s="29">
        <f>IFERROR(INDEX(LISTADO!$F$3:$F$202,MATCH(LARGE(LISTADO!$R$3:$R$202,3),LISTADO!$R$3:$R$202,0)),"")</f>
      </c>
      <c r="E28" s="10">
        <f>IFERROR(LARGE(LISTADO!$R$3:$R$202,3),"")</f>
      </c>
      <c r="F28" s="11">
        <f>IFERROR(INDEX(LISTADO!$S$3:$S$202,MATCH(LARGE(LISTADO!$R$3:$R$202,3),LISTADO!$R$3:$R$202,0)),"")</f>
      </c>
    </row>
    <row r="29" ht="18" customHeight="1" spans="1:6" x14ac:dyDescent="0.25">
      <c r="A29" s="18">
        <v>4</v>
      </c>
      <c r="B29" s="30">
        <f>IFERROR(INDEX(LISTADO!$D$3:$D$202,MATCH(LARGE(LISTADO!$R$3:$R$202,4),LISTADO!$R$3:$R$202,0)),"")</f>
      </c>
      <c r="C29" s="30">
        <f>IFERROR(INDEX(LISTADO!$E$3:$E$202,MATCH(LARGE(LISTADO!$R$3:$R$202,4),LISTADO!$R$3:$R$202,0)),"")</f>
      </c>
      <c r="D29" s="30">
        <f>IFERROR(INDEX(LISTADO!$F$3:$F$202,MATCH(LARGE(LISTADO!$R$3:$R$202,4),LISTADO!$R$3:$R$202,0)),"")</f>
      </c>
      <c r="E29" s="17">
        <f>IFERROR(LARGE(LISTADO!$R$3:$R$202,4),"")</f>
      </c>
      <c r="F29" s="18">
        <f>IFERROR(INDEX(LISTADO!$S$3:$S$202,MATCH(LARGE(LISTADO!$R$3:$R$202,4),LISTADO!$R$3:$R$202,0)),"")</f>
      </c>
    </row>
    <row r="30" ht="18" customHeight="1" spans="1:6" x14ac:dyDescent="0.25">
      <c r="A30" s="11">
        <v>5</v>
      </c>
      <c r="B30" s="29">
        <f>IFERROR(INDEX(LISTADO!$D$3:$D$202,MATCH(LARGE(LISTADO!$R$3:$R$202,5),LISTADO!$R$3:$R$202,0)),"")</f>
      </c>
      <c r="C30" s="29">
        <f>IFERROR(INDEX(LISTADO!$E$3:$E$202,MATCH(LARGE(LISTADO!$R$3:$R$202,5),LISTADO!$R$3:$R$202,0)),"")</f>
      </c>
      <c r="D30" s="29">
        <f>IFERROR(INDEX(LISTADO!$F$3:$F$202,MATCH(LARGE(LISTADO!$R$3:$R$202,5),LISTADO!$R$3:$R$202,0)),"")</f>
      </c>
      <c r="E30" s="10">
        <f>IFERROR(LARGE(LISTADO!$R$3:$R$202,5),"")</f>
      </c>
      <c r="F30" s="11">
        <f>IFERROR(INDEX(LISTADO!$S$3:$S$202,MATCH(LARGE(LISTADO!$R$3:$R$202,5),LISTADO!$R$3:$R$202,0)),"")</f>
      </c>
    </row>
    <row r="31" ht="18" customHeight="1" spans="1:6" x14ac:dyDescent="0.25">
      <c r="A31" s="18">
        <v>6</v>
      </c>
      <c r="B31" s="30">
        <f>IFERROR(INDEX(LISTADO!$D$3:$D$202,MATCH(LARGE(LISTADO!$R$3:$R$202,6),LISTADO!$R$3:$R$202,0)),"")</f>
      </c>
      <c r="C31" s="30">
        <f>IFERROR(INDEX(LISTADO!$E$3:$E$202,MATCH(LARGE(LISTADO!$R$3:$R$202,6),LISTADO!$R$3:$R$202,0)),"")</f>
      </c>
      <c r="D31" s="30">
        <f>IFERROR(INDEX(LISTADO!$F$3:$F$202,MATCH(LARGE(LISTADO!$R$3:$R$202,6),LISTADO!$R$3:$R$202,0)),"")</f>
      </c>
      <c r="E31" s="17">
        <f>IFERROR(LARGE(LISTADO!$R$3:$R$202,6),"")</f>
      </c>
      <c r="F31" s="18">
        <f>IFERROR(INDEX(LISTADO!$S$3:$S$202,MATCH(LARGE(LISTADO!$R$3:$R$202,6),LISTADO!$R$3:$R$202,0)),"")</f>
      </c>
    </row>
    <row r="32" ht="18" customHeight="1" spans="1:6" x14ac:dyDescent="0.25">
      <c r="A32" s="11">
        <v>7</v>
      </c>
      <c r="B32" s="29">
        <f>IFERROR(INDEX(LISTADO!$D$3:$D$202,MATCH(LARGE(LISTADO!$R$3:$R$202,7),LISTADO!$R$3:$R$202,0)),"")</f>
      </c>
      <c r="C32" s="29">
        <f>IFERROR(INDEX(LISTADO!$E$3:$E$202,MATCH(LARGE(LISTADO!$R$3:$R$202,7),LISTADO!$R$3:$R$202,0)),"")</f>
      </c>
      <c r="D32" s="29">
        <f>IFERROR(INDEX(LISTADO!$F$3:$F$202,MATCH(LARGE(LISTADO!$R$3:$R$202,7),LISTADO!$R$3:$R$202,0)),"")</f>
      </c>
      <c r="E32" s="10">
        <f>IFERROR(LARGE(LISTADO!$R$3:$R$202,7),"")</f>
      </c>
      <c r="F32" s="11">
        <f>IFERROR(INDEX(LISTADO!$S$3:$S$202,MATCH(LARGE(LISTADO!$R$3:$R$202,7),LISTADO!$R$3:$R$202,0)),"")</f>
      </c>
    </row>
    <row r="33" ht="18" customHeight="1" spans="1:6" x14ac:dyDescent="0.25">
      <c r="A33" s="18">
        <v>8</v>
      </c>
      <c r="B33" s="30">
        <f>IFERROR(INDEX(LISTADO!$D$3:$D$202,MATCH(LARGE(LISTADO!$R$3:$R$202,8),LISTADO!$R$3:$R$202,0)),"")</f>
      </c>
      <c r="C33" s="30">
        <f>IFERROR(INDEX(LISTADO!$E$3:$E$202,MATCH(LARGE(LISTADO!$R$3:$R$202,8),LISTADO!$R$3:$R$202,0)),"")</f>
      </c>
      <c r="D33" s="30">
        <f>IFERROR(INDEX(LISTADO!$F$3:$F$202,MATCH(LARGE(LISTADO!$R$3:$R$202,8),LISTADO!$R$3:$R$202,0)),"")</f>
      </c>
      <c r="E33" s="17">
        <f>IFERROR(LARGE(LISTADO!$R$3:$R$202,8),"")</f>
      </c>
      <c r="F33" s="18">
        <f>IFERROR(INDEX(LISTADO!$S$3:$S$202,MATCH(LARGE(LISTADO!$R$3:$R$202,8),LISTADO!$R$3:$R$202,0)),"")</f>
      </c>
    </row>
    <row r="34" ht="18" customHeight="1" spans="1:6" x14ac:dyDescent="0.25">
      <c r="A34" s="11">
        <v>9</v>
      </c>
      <c r="B34" s="29">
        <f>IFERROR(INDEX(LISTADO!$D$3:$D$202,MATCH(LARGE(LISTADO!$R$3:$R$202,9),LISTADO!$R$3:$R$202,0)),"")</f>
      </c>
      <c r="C34" s="29">
        <f>IFERROR(INDEX(LISTADO!$E$3:$E$202,MATCH(LARGE(LISTADO!$R$3:$R$202,9),LISTADO!$R$3:$R$202,0)),"")</f>
      </c>
      <c r="D34" s="29">
        <f>IFERROR(INDEX(LISTADO!$F$3:$F$202,MATCH(LARGE(LISTADO!$R$3:$R$202,9),LISTADO!$R$3:$R$202,0)),"")</f>
      </c>
      <c r="E34" s="10">
        <f>IFERROR(LARGE(LISTADO!$R$3:$R$202,9),"")</f>
      </c>
      <c r="F34" s="11">
        <f>IFERROR(INDEX(LISTADO!$S$3:$S$202,MATCH(LARGE(LISTADO!$R$3:$R$202,9),LISTADO!$R$3:$R$202,0)),"")</f>
      </c>
    </row>
    <row r="35" ht="18" customHeight="1" spans="1:6" x14ac:dyDescent="0.25">
      <c r="A35" s="18">
        <v>10</v>
      </c>
      <c r="B35" s="30">
        <f>IFERROR(INDEX(LISTADO!$D$3:$D$202,MATCH(LARGE(LISTADO!$R$3:$R$202,10),LISTADO!$R$3:$R$202,0)),"")</f>
      </c>
      <c r="C35" s="30">
        <f>IFERROR(INDEX(LISTADO!$E$3:$E$202,MATCH(LARGE(LISTADO!$R$3:$R$202,10),LISTADO!$R$3:$R$202,0)),"")</f>
      </c>
      <c r="D35" s="30">
        <f>IFERROR(INDEX(LISTADO!$F$3:$F$202,MATCH(LARGE(LISTADO!$R$3:$R$202,10),LISTADO!$R$3:$R$202,0)),"")</f>
      </c>
      <c r="E35" s="17">
        <f>IFERROR(LARGE(LISTADO!$R$3:$R$202,10),"")</f>
      </c>
      <c r="F35" s="18">
        <f>IFERROR(INDEX(LISTADO!$S$3:$S$202,MATCH(LARGE(LISTADO!$R$3:$R$202,10),LISTADO!$R$3:$R$202,0)),"")</f>
      </c>
    </row>
    <row r="36" ht="18" customHeight="1" spans="1:6" x14ac:dyDescent="0.25">
      <c r="A36" s="11">
        <v>11</v>
      </c>
      <c r="B36" s="29">
        <f>IFERROR(INDEX(LISTADO!$D$3:$D$202,MATCH(LARGE(LISTADO!$R$3:$R$202,11),LISTADO!$R$3:$R$202,0)),"")</f>
      </c>
      <c r="C36" s="29">
        <f>IFERROR(INDEX(LISTADO!$E$3:$E$202,MATCH(LARGE(LISTADO!$R$3:$R$202,11),LISTADO!$R$3:$R$202,0)),"")</f>
      </c>
      <c r="D36" s="29">
        <f>IFERROR(INDEX(LISTADO!$F$3:$F$202,MATCH(LARGE(LISTADO!$R$3:$R$202,11),LISTADO!$R$3:$R$202,0)),"")</f>
      </c>
      <c r="E36" s="10">
        <f>IFERROR(LARGE(LISTADO!$R$3:$R$202,11),"")</f>
      </c>
      <c r="F36" s="11">
        <f>IFERROR(INDEX(LISTADO!$S$3:$S$202,MATCH(LARGE(LISTADO!$R$3:$R$202,11),LISTADO!$R$3:$R$202,0)),"")</f>
      </c>
    </row>
    <row r="37" ht="18" customHeight="1" spans="1:6" x14ac:dyDescent="0.25">
      <c r="A37" s="18">
        <v>12</v>
      </c>
      <c r="B37" s="30">
        <f>IFERROR(INDEX(LISTADO!$D$3:$D$202,MATCH(LARGE(LISTADO!$R$3:$R$202,12),LISTADO!$R$3:$R$202,0)),"")</f>
      </c>
      <c r="C37" s="30">
        <f>IFERROR(INDEX(LISTADO!$E$3:$E$202,MATCH(LARGE(LISTADO!$R$3:$R$202,12),LISTADO!$R$3:$R$202,0)),"")</f>
      </c>
      <c r="D37" s="30">
        <f>IFERROR(INDEX(LISTADO!$F$3:$F$202,MATCH(LARGE(LISTADO!$R$3:$R$202,12),LISTADO!$R$3:$R$202,0)),"")</f>
      </c>
      <c r="E37" s="17">
        <f>IFERROR(LARGE(LISTADO!$R$3:$R$202,12),"")</f>
      </c>
      <c r="F37" s="18">
        <f>IFERROR(INDEX(LISTADO!$S$3:$S$202,MATCH(LARGE(LISTADO!$R$3:$R$202,12),LISTADO!$R$3:$R$202,0)),"")</f>
      </c>
    </row>
    <row r="38" ht="18" customHeight="1" spans="1:6" x14ac:dyDescent="0.25">
      <c r="A38" s="11">
        <v>13</v>
      </c>
      <c r="B38" s="29">
        <f>IFERROR(INDEX(LISTADO!$D$3:$D$202,MATCH(LARGE(LISTADO!$R$3:$R$202,13),LISTADO!$R$3:$R$202,0)),"")</f>
      </c>
      <c r="C38" s="29">
        <f>IFERROR(INDEX(LISTADO!$E$3:$E$202,MATCH(LARGE(LISTADO!$R$3:$R$202,13),LISTADO!$R$3:$R$202,0)),"")</f>
      </c>
      <c r="D38" s="29">
        <f>IFERROR(INDEX(LISTADO!$F$3:$F$202,MATCH(LARGE(LISTADO!$R$3:$R$202,13),LISTADO!$R$3:$R$202,0)),"")</f>
      </c>
      <c r="E38" s="10">
        <f>IFERROR(LARGE(LISTADO!$R$3:$R$202,13),"")</f>
      </c>
      <c r="F38" s="11">
        <f>IFERROR(INDEX(LISTADO!$S$3:$S$202,MATCH(LARGE(LISTADO!$R$3:$R$202,13),LISTADO!$R$3:$R$202,0)),"")</f>
      </c>
    </row>
    <row r="39" ht="18" customHeight="1" spans="1:6" x14ac:dyDescent="0.25">
      <c r="A39" s="18">
        <v>14</v>
      </c>
      <c r="B39" s="30">
        <f>IFERROR(INDEX(LISTADO!$D$3:$D$202,MATCH(LARGE(LISTADO!$R$3:$R$202,14),LISTADO!$R$3:$R$202,0)),"")</f>
      </c>
      <c r="C39" s="30">
        <f>IFERROR(INDEX(LISTADO!$E$3:$E$202,MATCH(LARGE(LISTADO!$R$3:$R$202,14),LISTADO!$R$3:$R$202,0)),"")</f>
      </c>
      <c r="D39" s="30">
        <f>IFERROR(INDEX(LISTADO!$F$3:$F$202,MATCH(LARGE(LISTADO!$R$3:$R$202,14),LISTADO!$R$3:$R$202,0)),"")</f>
      </c>
      <c r="E39" s="17">
        <f>IFERROR(LARGE(LISTADO!$R$3:$R$202,14),"")</f>
      </c>
      <c r="F39" s="18">
        <f>IFERROR(INDEX(LISTADO!$S$3:$S$202,MATCH(LARGE(LISTADO!$R$3:$R$202,14),LISTADO!$R$3:$R$202,0)),"")</f>
      </c>
    </row>
    <row r="40" ht="18" customHeight="1" spans="1:6" x14ac:dyDescent="0.25">
      <c r="A40" s="11">
        <v>15</v>
      </c>
      <c r="B40" s="29">
        <f>IFERROR(INDEX(LISTADO!$D$3:$D$202,MATCH(LARGE(LISTADO!$R$3:$R$202,15),LISTADO!$R$3:$R$202,0)),"")</f>
      </c>
      <c r="C40" s="29">
        <f>IFERROR(INDEX(LISTADO!$E$3:$E$202,MATCH(LARGE(LISTADO!$R$3:$R$202,15),LISTADO!$R$3:$R$202,0)),"")</f>
      </c>
      <c r="D40" s="29">
        <f>IFERROR(INDEX(LISTADO!$F$3:$F$202,MATCH(LARGE(LISTADO!$R$3:$R$202,15),LISTADO!$R$3:$R$202,0)),"")</f>
      </c>
      <c r="E40" s="10">
        <f>IFERROR(LARGE(LISTADO!$R$3:$R$202,15),"")</f>
      </c>
      <c r="F40" s="11">
        <f>IFERROR(INDEX(LISTADO!$S$3:$S$202,MATCH(LARGE(LISTADO!$R$3:$R$202,15),LISTADO!$R$3:$R$202,0)),"")</f>
      </c>
    </row>
    <row r="41" ht="18" customHeight="1" spans="1:6" x14ac:dyDescent="0.25">
      <c r="A41" s="18">
        <v>16</v>
      </c>
      <c r="B41" s="30">
        <f>IFERROR(INDEX(LISTADO!$D$3:$D$202,MATCH(LARGE(LISTADO!$R$3:$R$202,16),LISTADO!$R$3:$R$202,0)),"")</f>
      </c>
      <c r="C41" s="30">
        <f>IFERROR(INDEX(LISTADO!$E$3:$E$202,MATCH(LARGE(LISTADO!$R$3:$R$202,16),LISTADO!$R$3:$R$202,0)),"")</f>
      </c>
      <c r="D41" s="30">
        <f>IFERROR(INDEX(LISTADO!$F$3:$F$202,MATCH(LARGE(LISTADO!$R$3:$R$202,16),LISTADO!$R$3:$R$202,0)),"")</f>
      </c>
      <c r="E41" s="17">
        <f>IFERROR(LARGE(LISTADO!$R$3:$R$202,16),"")</f>
      </c>
      <c r="F41" s="18">
        <f>IFERROR(INDEX(LISTADO!$S$3:$S$202,MATCH(LARGE(LISTADO!$R$3:$R$202,16),LISTADO!$R$3:$R$202,0)),"")</f>
      </c>
    </row>
    <row r="42" ht="18" customHeight="1" spans="1:6" x14ac:dyDescent="0.25">
      <c r="A42" s="11">
        <v>17</v>
      </c>
      <c r="B42" s="29">
        <f>IFERROR(INDEX(LISTADO!$D$3:$D$202,MATCH(LARGE(LISTADO!$R$3:$R$202,17),LISTADO!$R$3:$R$202,0)),"")</f>
      </c>
      <c r="C42" s="29">
        <f>IFERROR(INDEX(LISTADO!$E$3:$E$202,MATCH(LARGE(LISTADO!$R$3:$R$202,17),LISTADO!$R$3:$R$202,0)),"")</f>
      </c>
      <c r="D42" s="29">
        <f>IFERROR(INDEX(LISTADO!$F$3:$F$202,MATCH(LARGE(LISTADO!$R$3:$R$202,17),LISTADO!$R$3:$R$202,0)),"")</f>
      </c>
      <c r="E42" s="10">
        <f>IFERROR(LARGE(LISTADO!$R$3:$R$202,17),"")</f>
      </c>
      <c r="F42" s="11">
        <f>IFERROR(INDEX(LISTADO!$S$3:$S$202,MATCH(LARGE(LISTADO!$R$3:$R$202,17),LISTADO!$R$3:$R$202,0)),"")</f>
      </c>
    </row>
    <row r="43" ht="18" customHeight="1" spans="1:6" x14ac:dyDescent="0.25">
      <c r="A43" s="18">
        <v>18</v>
      </c>
      <c r="B43" s="30">
        <f>IFERROR(INDEX(LISTADO!$D$3:$D$202,MATCH(LARGE(LISTADO!$R$3:$R$202,18),LISTADO!$R$3:$R$202,0)),"")</f>
      </c>
      <c r="C43" s="30">
        <f>IFERROR(INDEX(LISTADO!$E$3:$E$202,MATCH(LARGE(LISTADO!$R$3:$R$202,18),LISTADO!$R$3:$R$202,0)),"")</f>
      </c>
      <c r="D43" s="30">
        <f>IFERROR(INDEX(LISTADO!$F$3:$F$202,MATCH(LARGE(LISTADO!$R$3:$R$202,18),LISTADO!$R$3:$R$202,0)),"")</f>
      </c>
      <c r="E43" s="17">
        <f>IFERROR(LARGE(LISTADO!$R$3:$R$202,18),"")</f>
      </c>
      <c r="F43" s="18">
        <f>IFERROR(INDEX(LISTADO!$S$3:$S$202,MATCH(LARGE(LISTADO!$R$3:$R$202,18),LISTADO!$R$3:$R$202,0)),"")</f>
      </c>
    </row>
    <row r="44" ht="18" customHeight="1" spans="1:6" x14ac:dyDescent="0.25">
      <c r="A44" s="11">
        <v>19</v>
      </c>
      <c r="B44" s="29">
        <f>IFERROR(INDEX(LISTADO!$D$3:$D$202,MATCH(LARGE(LISTADO!$R$3:$R$202,19),LISTADO!$R$3:$R$202,0)),"")</f>
      </c>
      <c r="C44" s="29">
        <f>IFERROR(INDEX(LISTADO!$E$3:$E$202,MATCH(LARGE(LISTADO!$R$3:$R$202,19),LISTADO!$R$3:$R$202,0)),"")</f>
      </c>
      <c r="D44" s="29">
        <f>IFERROR(INDEX(LISTADO!$F$3:$F$202,MATCH(LARGE(LISTADO!$R$3:$R$202,19),LISTADO!$R$3:$R$202,0)),"")</f>
      </c>
      <c r="E44" s="10">
        <f>IFERROR(LARGE(LISTADO!$R$3:$R$202,19),"")</f>
      </c>
      <c r="F44" s="11">
        <f>IFERROR(INDEX(LISTADO!$S$3:$S$202,MATCH(LARGE(LISTADO!$R$3:$R$202,19),LISTADO!$R$3:$R$202,0)),"")</f>
      </c>
    </row>
    <row r="45" ht="18" customHeight="1" spans="1:6" x14ac:dyDescent="0.25">
      <c r="A45" s="18">
        <v>20</v>
      </c>
      <c r="B45" s="30">
        <f>IFERROR(INDEX(LISTADO!$D$3:$D$202,MATCH(LARGE(LISTADO!$R$3:$R$202,20),LISTADO!$R$3:$R$202,0)),"")</f>
      </c>
      <c r="C45" s="30">
        <f>IFERROR(INDEX(LISTADO!$E$3:$E$202,MATCH(LARGE(LISTADO!$R$3:$R$202,20),LISTADO!$R$3:$R$202,0)),"")</f>
      </c>
      <c r="D45" s="30">
        <f>IFERROR(INDEX(LISTADO!$F$3:$F$202,MATCH(LARGE(LISTADO!$R$3:$R$202,20),LISTADO!$R$3:$R$202,0)),"")</f>
      </c>
      <c r="E45" s="17">
        <f>IFERROR(LARGE(LISTADO!$R$3:$R$202,20),"")</f>
      </c>
      <c r="F45" s="18">
        <f>IFERROR(INDEX(LISTADO!$S$3:$S$202,MATCH(LARGE(LISTADO!$R$3:$R$202,20),LISTADO!$R$3:$R$202,0)),"")</f>
      </c>
    </row>
    <row r="46" ht="18" customHeight="1" spans="1:6" x14ac:dyDescent="0.25">
      <c r="A46" s="11">
        <v>21</v>
      </c>
      <c r="B46" s="29">
        <f>IFERROR(INDEX(LISTADO!$D$3:$D$202,MATCH(LARGE(LISTADO!$R$3:$R$202,21),LISTADO!$R$3:$R$202,0)),"")</f>
      </c>
      <c r="C46" s="29">
        <f>IFERROR(INDEX(LISTADO!$E$3:$E$202,MATCH(LARGE(LISTADO!$R$3:$R$202,21),LISTADO!$R$3:$R$202,0)),"")</f>
      </c>
      <c r="D46" s="29">
        <f>IFERROR(INDEX(LISTADO!$F$3:$F$202,MATCH(LARGE(LISTADO!$R$3:$R$202,21),LISTADO!$R$3:$R$202,0)),"")</f>
      </c>
      <c r="E46" s="10">
        <f>IFERROR(LARGE(LISTADO!$R$3:$R$202,21),"")</f>
      </c>
      <c r="F46" s="11">
        <f>IFERROR(INDEX(LISTADO!$S$3:$S$202,MATCH(LARGE(LISTADO!$R$3:$R$202,21),LISTADO!$R$3:$R$202,0)),"")</f>
      </c>
    </row>
    <row r="47" ht="18" customHeight="1" spans="1:6" x14ac:dyDescent="0.25">
      <c r="A47" s="18">
        <v>22</v>
      </c>
      <c r="B47" s="30">
        <f>IFERROR(INDEX(LISTADO!$D$3:$D$202,MATCH(LARGE(LISTADO!$R$3:$R$202,22),LISTADO!$R$3:$R$202,0)),"")</f>
      </c>
      <c r="C47" s="30">
        <f>IFERROR(INDEX(LISTADO!$E$3:$E$202,MATCH(LARGE(LISTADO!$R$3:$R$202,22),LISTADO!$R$3:$R$202,0)),"")</f>
      </c>
      <c r="D47" s="30">
        <f>IFERROR(INDEX(LISTADO!$F$3:$F$202,MATCH(LARGE(LISTADO!$R$3:$R$202,22),LISTADO!$R$3:$R$202,0)),"")</f>
      </c>
      <c r="E47" s="17">
        <f>IFERROR(LARGE(LISTADO!$R$3:$R$202,22),"")</f>
      </c>
      <c r="F47" s="18">
        <f>IFERROR(INDEX(LISTADO!$S$3:$S$202,MATCH(LARGE(LISTADO!$R$3:$R$202,22),LISTADO!$R$3:$R$202,0)),"")</f>
      </c>
    </row>
    <row r="48" ht="18" customHeight="1" spans="1:6" x14ac:dyDescent="0.25">
      <c r="A48" s="11">
        <v>23</v>
      </c>
      <c r="B48" s="29">
        <f>IFERROR(INDEX(LISTADO!$D$3:$D$202,MATCH(LARGE(LISTADO!$R$3:$R$202,23),LISTADO!$R$3:$R$202,0)),"")</f>
      </c>
      <c r="C48" s="29">
        <f>IFERROR(INDEX(LISTADO!$E$3:$E$202,MATCH(LARGE(LISTADO!$R$3:$R$202,23),LISTADO!$R$3:$R$202,0)),"")</f>
      </c>
      <c r="D48" s="29">
        <f>IFERROR(INDEX(LISTADO!$F$3:$F$202,MATCH(LARGE(LISTADO!$R$3:$R$202,23),LISTADO!$R$3:$R$202,0)),"")</f>
      </c>
      <c r="E48" s="10">
        <f>IFERROR(LARGE(LISTADO!$R$3:$R$202,23),"")</f>
      </c>
      <c r="F48" s="11">
        <f>IFERROR(INDEX(LISTADO!$S$3:$S$202,MATCH(LARGE(LISTADO!$R$3:$R$202,23),LISTADO!$R$3:$R$202,0)),"")</f>
      </c>
    </row>
    <row r="49" ht="18" customHeight="1" spans="1:6" x14ac:dyDescent="0.25">
      <c r="A49" s="18">
        <v>24</v>
      </c>
      <c r="B49" s="30">
        <f>IFERROR(INDEX(LISTADO!$D$3:$D$202,MATCH(LARGE(LISTADO!$R$3:$R$202,24),LISTADO!$R$3:$R$202,0)),"")</f>
      </c>
      <c r="C49" s="30">
        <f>IFERROR(INDEX(LISTADO!$E$3:$E$202,MATCH(LARGE(LISTADO!$R$3:$R$202,24),LISTADO!$R$3:$R$202,0)),"")</f>
      </c>
      <c r="D49" s="30">
        <f>IFERROR(INDEX(LISTADO!$F$3:$F$202,MATCH(LARGE(LISTADO!$R$3:$R$202,24),LISTADO!$R$3:$R$202,0)),"")</f>
      </c>
      <c r="E49" s="17">
        <f>IFERROR(LARGE(LISTADO!$R$3:$R$202,24),"")</f>
      </c>
      <c r="F49" s="18">
        <f>IFERROR(INDEX(LISTADO!$S$3:$S$202,MATCH(LARGE(LISTADO!$R$3:$R$202,24),LISTADO!$R$3:$R$202,0)),"")</f>
      </c>
    </row>
    <row r="50" ht="18" customHeight="1" spans="1:6" x14ac:dyDescent="0.25">
      <c r="A50" s="11">
        <v>25</v>
      </c>
      <c r="B50" s="29">
        <f>IFERROR(INDEX(LISTADO!$D$3:$D$202,MATCH(LARGE(LISTADO!$R$3:$R$202,25),LISTADO!$R$3:$R$202,0)),"")</f>
      </c>
      <c r="C50" s="29">
        <f>IFERROR(INDEX(LISTADO!$E$3:$E$202,MATCH(LARGE(LISTADO!$R$3:$R$202,25),LISTADO!$R$3:$R$202,0)),"")</f>
      </c>
      <c r="D50" s="29">
        <f>IFERROR(INDEX(LISTADO!$F$3:$F$202,MATCH(LARGE(LISTADO!$R$3:$R$202,25),LISTADO!$R$3:$R$202,0)),"")</f>
      </c>
      <c r="E50" s="10">
        <f>IFERROR(LARGE(LISTADO!$R$3:$R$202,25),"")</f>
      </c>
      <c r="F50" s="11">
        <f>IFERROR(INDEX(LISTADO!$S$3:$S$202,MATCH(LARGE(LISTADO!$R$3:$R$202,25),LISTADO!$R$3:$R$202,0)),"")</f>
      </c>
    </row>
    <row r="51" ht="18" customHeight="1" spans="1:6" x14ac:dyDescent="0.25">
      <c r="A51" s="18">
        <v>26</v>
      </c>
      <c r="B51" s="30">
        <f>IFERROR(INDEX(LISTADO!$D$3:$D$202,MATCH(LARGE(LISTADO!$R$3:$R$202,26),LISTADO!$R$3:$R$202,0)),"")</f>
      </c>
      <c r="C51" s="30">
        <f>IFERROR(INDEX(LISTADO!$E$3:$E$202,MATCH(LARGE(LISTADO!$R$3:$R$202,26),LISTADO!$R$3:$R$202,0)),"")</f>
      </c>
      <c r="D51" s="30">
        <f>IFERROR(INDEX(LISTADO!$F$3:$F$202,MATCH(LARGE(LISTADO!$R$3:$R$202,26),LISTADO!$R$3:$R$202,0)),"")</f>
      </c>
      <c r="E51" s="17">
        <f>IFERROR(LARGE(LISTADO!$R$3:$R$202,26),"")</f>
      </c>
      <c r="F51" s="18">
        <f>IFERROR(INDEX(LISTADO!$S$3:$S$202,MATCH(LARGE(LISTADO!$R$3:$R$202,26),LISTADO!$R$3:$R$202,0)),"")</f>
      </c>
    </row>
    <row r="52" ht="18" customHeight="1" spans="1:6" x14ac:dyDescent="0.25">
      <c r="A52" s="11">
        <v>27</v>
      </c>
      <c r="B52" s="29">
        <f>IFERROR(INDEX(LISTADO!$D$3:$D$202,MATCH(LARGE(LISTADO!$R$3:$R$202,27),LISTADO!$R$3:$R$202,0)),"")</f>
      </c>
      <c r="C52" s="29">
        <f>IFERROR(INDEX(LISTADO!$E$3:$E$202,MATCH(LARGE(LISTADO!$R$3:$R$202,27),LISTADO!$R$3:$R$202,0)),"")</f>
      </c>
      <c r="D52" s="29">
        <f>IFERROR(INDEX(LISTADO!$F$3:$F$202,MATCH(LARGE(LISTADO!$R$3:$R$202,27),LISTADO!$R$3:$R$202,0)),"")</f>
      </c>
      <c r="E52" s="10">
        <f>IFERROR(LARGE(LISTADO!$R$3:$R$202,27),"")</f>
      </c>
      <c r="F52" s="11">
        <f>IFERROR(INDEX(LISTADO!$S$3:$S$202,MATCH(LARGE(LISTADO!$R$3:$R$202,27),LISTADO!$R$3:$R$202,0)),"")</f>
      </c>
    </row>
    <row r="53" ht="18" customHeight="1" spans="1:6" x14ac:dyDescent="0.25">
      <c r="A53" s="18">
        <v>28</v>
      </c>
      <c r="B53" s="30">
        <f>IFERROR(INDEX(LISTADO!$D$3:$D$202,MATCH(LARGE(LISTADO!$R$3:$R$202,28),LISTADO!$R$3:$R$202,0)),"")</f>
      </c>
      <c r="C53" s="30">
        <f>IFERROR(INDEX(LISTADO!$E$3:$E$202,MATCH(LARGE(LISTADO!$R$3:$R$202,28),LISTADO!$R$3:$R$202,0)),"")</f>
      </c>
      <c r="D53" s="30">
        <f>IFERROR(INDEX(LISTADO!$F$3:$F$202,MATCH(LARGE(LISTADO!$R$3:$R$202,28),LISTADO!$R$3:$R$202,0)),"")</f>
      </c>
      <c r="E53" s="17">
        <f>IFERROR(LARGE(LISTADO!$R$3:$R$202,28),"")</f>
      </c>
      <c r="F53" s="18">
        <f>IFERROR(INDEX(LISTADO!$S$3:$S$202,MATCH(LARGE(LISTADO!$R$3:$R$202,28),LISTADO!$R$3:$R$202,0)),"")</f>
      </c>
    </row>
    <row r="54" ht="18" customHeight="1" spans="1:6" x14ac:dyDescent="0.25">
      <c r="A54" s="11">
        <v>29</v>
      </c>
      <c r="B54" s="29">
        <f>IFERROR(INDEX(LISTADO!$D$3:$D$202,MATCH(LARGE(LISTADO!$R$3:$R$202,29),LISTADO!$R$3:$R$202,0)),"")</f>
      </c>
      <c r="C54" s="29">
        <f>IFERROR(INDEX(LISTADO!$E$3:$E$202,MATCH(LARGE(LISTADO!$R$3:$R$202,29),LISTADO!$R$3:$R$202,0)),"")</f>
      </c>
      <c r="D54" s="29">
        <f>IFERROR(INDEX(LISTADO!$F$3:$F$202,MATCH(LARGE(LISTADO!$R$3:$R$202,29),LISTADO!$R$3:$R$202,0)),"")</f>
      </c>
      <c r="E54" s="10">
        <f>IFERROR(LARGE(LISTADO!$R$3:$R$202,29),"")</f>
      </c>
      <c r="F54" s="11">
        <f>IFERROR(INDEX(LISTADO!$S$3:$S$202,MATCH(LARGE(LISTADO!$R$3:$R$202,29),LISTADO!$R$3:$R$202,0)),"")</f>
      </c>
    </row>
    <row r="55" ht="18" customHeight="1" spans="1:6" x14ac:dyDescent="0.25">
      <c r="A55" s="18">
        <v>30</v>
      </c>
      <c r="B55" s="30">
        <f>IFERROR(INDEX(LISTADO!$D$3:$D$202,MATCH(LARGE(LISTADO!$R$3:$R$202,30),LISTADO!$R$3:$R$202,0)),"")</f>
      </c>
      <c r="C55" s="30">
        <f>IFERROR(INDEX(LISTADO!$E$3:$E$202,MATCH(LARGE(LISTADO!$R$3:$R$202,30),LISTADO!$R$3:$R$202,0)),"")</f>
      </c>
      <c r="D55" s="30">
        <f>IFERROR(INDEX(LISTADO!$F$3:$F$202,MATCH(LARGE(LISTADO!$R$3:$R$202,30),LISTADO!$R$3:$R$202,0)),"")</f>
      </c>
      <c r="E55" s="17">
        <f>IFERROR(LARGE(LISTADO!$R$3:$R$202,30),"")</f>
      </c>
      <c r="F55" s="18">
        <f>IFERROR(INDEX(LISTADO!$S$3:$S$202,MATCH(LARGE(LISTADO!$R$3:$R$202,30),LISTADO!$R$3:$R$202,0)),"")</f>
      </c>
    </row>
    <row r="56" ht="18" customHeight="1" spans="1:6" x14ac:dyDescent="0.25">
      <c r="A56" s="11">
        <v>31</v>
      </c>
      <c r="B56" s="29">
        <f>IFERROR(INDEX(LISTADO!$D$3:$D$202,MATCH(LARGE(LISTADO!$R$3:$R$202,31),LISTADO!$R$3:$R$202,0)),"")</f>
      </c>
      <c r="C56" s="29">
        <f>IFERROR(INDEX(LISTADO!$E$3:$E$202,MATCH(LARGE(LISTADO!$R$3:$R$202,31),LISTADO!$R$3:$R$202,0)),"")</f>
      </c>
      <c r="D56" s="29">
        <f>IFERROR(INDEX(LISTADO!$F$3:$F$202,MATCH(LARGE(LISTADO!$R$3:$R$202,31),LISTADO!$R$3:$R$202,0)),"")</f>
      </c>
      <c r="E56" s="10">
        <f>IFERROR(LARGE(LISTADO!$R$3:$R$202,31),"")</f>
      </c>
      <c r="F56" s="11">
        <f>IFERROR(INDEX(LISTADO!$S$3:$S$202,MATCH(LARGE(LISTADO!$R$3:$R$202,31),LISTADO!$R$3:$R$202,0)),"")</f>
      </c>
    </row>
    <row r="57" ht="18" customHeight="1" spans="1:6" x14ac:dyDescent="0.25">
      <c r="A57" s="18">
        <v>32</v>
      </c>
      <c r="B57" s="30">
        <f>IFERROR(INDEX(LISTADO!$D$3:$D$202,MATCH(LARGE(LISTADO!$R$3:$R$202,32),LISTADO!$R$3:$R$202,0)),"")</f>
      </c>
      <c r="C57" s="30">
        <f>IFERROR(INDEX(LISTADO!$E$3:$E$202,MATCH(LARGE(LISTADO!$R$3:$R$202,32),LISTADO!$R$3:$R$202,0)),"")</f>
      </c>
      <c r="D57" s="30">
        <f>IFERROR(INDEX(LISTADO!$F$3:$F$202,MATCH(LARGE(LISTADO!$R$3:$R$202,32),LISTADO!$R$3:$R$202,0)),"")</f>
      </c>
      <c r="E57" s="17">
        <f>IFERROR(LARGE(LISTADO!$R$3:$R$202,32),"")</f>
      </c>
      <c r="F57" s="18">
        <f>IFERROR(INDEX(LISTADO!$S$3:$S$202,MATCH(LARGE(LISTADO!$R$3:$R$202,32),LISTADO!$R$3:$R$202,0)),"")</f>
      </c>
    </row>
    <row r="58" ht="18" customHeight="1" spans="1:6" x14ac:dyDescent="0.25">
      <c r="A58" s="11">
        <v>33</v>
      </c>
      <c r="B58" s="29">
        <f>IFERROR(INDEX(LISTADO!$D$3:$D$202,MATCH(LARGE(LISTADO!$R$3:$R$202,33),LISTADO!$R$3:$R$202,0)),"")</f>
      </c>
      <c r="C58" s="29">
        <f>IFERROR(INDEX(LISTADO!$E$3:$E$202,MATCH(LARGE(LISTADO!$R$3:$R$202,33),LISTADO!$R$3:$R$202,0)),"")</f>
      </c>
      <c r="D58" s="29">
        <f>IFERROR(INDEX(LISTADO!$F$3:$F$202,MATCH(LARGE(LISTADO!$R$3:$R$202,33),LISTADO!$R$3:$R$202,0)),"")</f>
      </c>
      <c r="E58" s="10">
        <f>IFERROR(LARGE(LISTADO!$R$3:$R$202,33),"")</f>
      </c>
      <c r="F58" s="11">
        <f>IFERROR(INDEX(LISTADO!$S$3:$S$202,MATCH(LARGE(LISTADO!$R$3:$R$202,33),LISTADO!$R$3:$R$202,0)),"")</f>
      </c>
    </row>
    <row r="59" ht="18" customHeight="1" spans="1:6" x14ac:dyDescent="0.25">
      <c r="A59" s="18">
        <v>34</v>
      </c>
      <c r="B59" s="30">
        <f>IFERROR(INDEX(LISTADO!$D$3:$D$202,MATCH(LARGE(LISTADO!$R$3:$R$202,34),LISTADO!$R$3:$R$202,0)),"")</f>
      </c>
      <c r="C59" s="30">
        <f>IFERROR(INDEX(LISTADO!$E$3:$E$202,MATCH(LARGE(LISTADO!$R$3:$R$202,34),LISTADO!$R$3:$R$202,0)),"")</f>
      </c>
      <c r="D59" s="30">
        <f>IFERROR(INDEX(LISTADO!$F$3:$F$202,MATCH(LARGE(LISTADO!$R$3:$R$202,34),LISTADO!$R$3:$R$202,0)),"")</f>
      </c>
      <c r="E59" s="17">
        <f>IFERROR(LARGE(LISTADO!$R$3:$R$202,34),"")</f>
      </c>
      <c r="F59" s="18">
        <f>IFERROR(INDEX(LISTADO!$S$3:$S$202,MATCH(LARGE(LISTADO!$R$3:$R$202,34),LISTADO!$R$3:$R$202,0)),"")</f>
      </c>
    </row>
    <row r="60" ht="18" customHeight="1" spans="1:6" x14ac:dyDescent="0.25">
      <c r="A60" s="11">
        <v>35</v>
      </c>
      <c r="B60" s="29">
        <f>IFERROR(INDEX(LISTADO!$D$3:$D$202,MATCH(LARGE(LISTADO!$R$3:$R$202,35),LISTADO!$R$3:$R$202,0)),"")</f>
      </c>
      <c r="C60" s="29">
        <f>IFERROR(INDEX(LISTADO!$E$3:$E$202,MATCH(LARGE(LISTADO!$R$3:$R$202,35),LISTADO!$R$3:$R$202,0)),"")</f>
      </c>
      <c r="D60" s="29">
        <f>IFERROR(INDEX(LISTADO!$F$3:$F$202,MATCH(LARGE(LISTADO!$R$3:$R$202,35),LISTADO!$R$3:$R$202,0)),"")</f>
      </c>
      <c r="E60" s="10">
        <f>IFERROR(LARGE(LISTADO!$R$3:$R$202,35),"")</f>
      </c>
      <c r="F60" s="11">
        <f>IFERROR(INDEX(LISTADO!$S$3:$S$202,MATCH(LARGE(LISTADO!$R$3:$R$202,35),LISTADO!$R$3:$R$202,0)),"")</f>
      </c>
    </row>
    <row r="61" ht="18" customHeight="1" spans="1:6" x14ac:dyDescent="0.25">
      <c r="A61" s="18">
        <v>36</v>
      </c>
      <c r="B61" s="30">
        <f>IFERROR(INDEX(LISTADO!$D$3:$D$202,MATCH(LARGE(LISTADO!$R$3:$R$202,36),LISTADO!$R$3:$R$202,0)),"")</f>
      </c>
      <c r="C61" s="30">
        <f>IFERROR(INDEX(LISTADO!$E$3:$E$202,MATCH(LARGE(LISTADO!$R$3:$R$202,36),LISTADO!$R$3:$R$202,0)),"")</f>
      </c>
      <c r="D61" s="30">
        <f>IFERROR(INDEX(LISTADO!$F$3:$F$202,MATCH(LARGE(LISTADO!$R$3:$R$202,36),LISTADO!$R$3:$R$202,0)),"")</f>
      </c>
      <c r="E61" s="17">
        <f>IFERROR(LARGE(LISTADO!$R$3:$R$202,36),"")</f>
      </c>
      <c r="F61" s="18">
        <f>IFERROR(INDEX(LISTADO!$S$3:$S$202,MATCH(LARGE(LISTADO!$R$3:$R$202,36),LISTADO!$R$3:$R$202,0)),"")</f>
      </c>
    </row>
    <row r="62" ht="18" customHeight="1" spans="1:6" x14ac:dyDescent="0.25">
      <c r="A62" s="11">
        <v>37</v>
      </c>
      <c r="B62" s="29">
        <f>IFERROR(INDEX(LISTADO!$D$3:$D$202,MATCH(LARGE(LISTADO!$R$3:$R$202,37),LISTADO!$R$3:$R$202,0)),"")</f>
      </c>
      <c r="C62" s="29">
        <f>IFERROR(INDEX(LISTADO!$E$3:$E$202,MATCH(LARGE(LISTADO!$R$3:$R$202,37),LISTADO!$R$3:$R$202,0)),"")</f>
      </c>
      <c r="D62" s="29">
        <f>IFERROR(INDEX(LISTADO!$F$3:$F$202,MATCH(LARGE(LISTADO!$R$3:$R$202,37),LISTADO!$R$3:$R$202,0)),"")</f>
      </c>
      <c r="E62" s="10">
        <f>IFERROR(LARGE(LISTADO!$R$3:$R$202,37),"")</f>
      </c>
      <c r="F62" s="11">
        <f>IFERROR(INDEX(LISTADO!$S$3:$S$202,MATCH(LARGE(LISTADO!$R$3:$R$202,37),LISTADO!$R$3:$R$202,0)),"")</f>
      </c>
    </row>
    <row r="63" ht="18" customHeight="1" spans="1:6" x14ac:dyDescent="0.25">
      <c r="A63" s="18">
        <v>38</v>
      </c>
      <c r="B63" s="30">
        <f>IFERROR(INDEX(LISTADO!$D$3:$D$202,MATCH(LARGE(LISTADO!$R$3:$R$202,38),LISTADO!$R$3:$R$202,0)),"")</f>
      </c>
      <c r="C63" s="30">
        <f>IFERROR(INDEX(LISTADO!$E$3:$E$202,MATCH(LARGE(LISTADO!$R$3:$R$202,38),LISTADO!$R$3:$R$202,0)),"")</f>
      </c>
      <c r="D63" s="30">
        <f>IFERROR(INDEX(LISTADO!$F$3:$F$202,MATCH(LARGE(LISTADO!$R$3:$R$202,38),LISTADO!$R$3:$R$202,0)),"")</f>
      </c>
      <c r="E63" s="17">
        <f>IFERROR(LARGE(LISTADO!$R$3:$R$202,38),"")</f>
      </c>
      <c r="F63" s="18">
        <f>IFERROR(INDEX(LISTADO!$S$3:$S$202,MATCH(LARGE(LISTADO!$R$3:$R$202,38),LISTADO!$R$3:$R$202,0)),"")</f>
      </c>
    </row>
    <row r="64" ht="18" customHeight="1" spans="1:6" x14ac:dyDescent="0.25">
      <c r="A64" s="11">
        <v>39</v>
      </c>
      <c r="B64" s="29">
        <f>IFERROR(INDEX(LISTADO!$D$3:$D$202,MATCH(LARGE(LISTADO!$R$3:$R$202,39),LISTADO!$R$3:$R$202,0)),"")</f>
      </c>
      <c r="C64" s="29">
        <f>IFERROR(INDEX(LISTADO!$E$3:$E$202,MATCH(LARGE(LISTADO!$R$3:$R$202,39),LISTADO!$R$3:$R$202,0)),"")</f>
      </c>
      <c r="D64" s="29">
        <f>IFERROR(INDEX(LISTADO!$F$3:$F$202,MATCH(LARGE(LISTADO!$R$3:$R$202,39),LISTADO!$R$3:$R$202,0)),"")</f>
      </c>
      <c r="E64" s="10">
        <f>IFERROR(LARGE(LISTADO!$R$3:$R$202,39),"")</f>
      </c>
      <c r="F64" s="11">
        <f>IFERROR(INDEX(LISTADO!$S$3:$S$202,MATCH(LARGE(LISTADO!$R$3:$R$202,39),LISTADO!$R$3:$R$202,0)),"")</f>
      </c>
    </row>
    <row r="65" ht="18" customHeight="1" spans="1:6" x14ac:dyDescent="0.25">
      <c r="A65" s="18">
        <v>40</v>
      </c>
      <c r="B65" s="30">
        <f>IFERROR(INDEX(LISTADO!$D$3:$D$202,MATCH(LARGE(LISTADO!$R$3:$R$202,40),LISTADO!$R$3:$R$202,0)),"")</f>
      </c>
      <c r="C65" s="30">
        <f>IFERROR(INDEX(LISTADO!$E$3:$E$202,MATCH(LARGE(LISTADO!$R$3:$R$202,40),LISTADO!$R$3:$R$202,0)),"")</f>
      </c>
      <c r="D65" s="30">
        <f>IFERROR(INDEX(LISTADO!$F$3:$F$202,MATCH(LARGE(LISTADO!$R$3:$R$202,40),LISTADO!$R$3:$R$202,0)),"")</f>
      </c>
      <c r="E65" s="17">
        <f>IFERROR(LARGE(LISTADO!$R$3:$R$202,40),"")</f>
      </c>
      <c r="F65" s="18">
        <f>IFERROR(INDEX(LISTADO!$S$3:$S$202,MATCH(LARGE(LISTADO!$R$3:$R$202,40),LISTADO!$R$3:$R$202,0)),"")</f>
      </c>
    </row>
    <row r="66" ht="18" customHeight="1" spans="1:6" x14ac:dyDescent="0.25">
      <c r="A66" s="11">
        <v>41</v>
      </c>
      <c r="B66" s="29">
        <f>IFERROR(INDEX(LISTADO!$D$3:$D$202,MATCH(LARGE(LISTADO!$R$3:$R$202,41),LISTADO!$R$3:$R$202,0)),"")</f>
      </c>
      <c r="C66" s="29">
        <f>IFERROR(INDEX(LISTADO!$E$3:$E$202,MATCH(LARGE(LISTADO!$R$3:$R$202,41),LISTADO!$R$3:$R$202,0)),"")</f>
      </c>
      <c r="D66" s="29">
        <f>IFERROR(INDEX(LISTADO!$F$3:$F$202,MATCH(LARGE(LISTADO!$R$3:$R$202,41),LISTADO!$R$3:$R$202,0)),"")</f>
      </c>
      <c r="E66" s="10">
        <f>IFERROR(LARGE(LISTADO!$R$3:$R$202,41),"")</f>
      </c>
      <c r="F66" s="11">
        <f>IFERROR(INDEX(LISTADO!$S$3:$S$202,MATCH(LARGE(LISTADO!$R$3:$R$202,41),LISTADO!$R$3:$R$202,0)),"")</f>
      </c>
    </row>
    <row r="67" ht="18" customHeight="1" spans="1:6" x14ac:dyDescent="0.25">
      <c r="A67" s="18">
        <v>42</v>
      </c>
      <c r="B67" s="30">
        <f>IFERROR(INDEX(LISTADO!$D$3:$D$202,MATCH(LARGE(LISTADO!$R$3:$R$202,42),LISTADO!$R$3:$R$202,0)),"")</f>
      </c>
      <c r="C67" s="30">
        <f>IFERROR(INDEX(LISTADO!$E$3:$E$202,MATCH(LARGE(LISTADO!$R$3:$R$202,42),LISTADO!$R$3:$R$202,0)),"")</f>
      </c>
      <c r="D67" s="30">
        <f>IFERROR(INDEX(LISTADO!$F$3:$F$202,MATCH(LARGE(LISTADO!$R$3:$R$202,42),LISTADO!$R$3:$R$202,0)),"")</f>
      </c>
      <c r="E67" s="17">
        <f>IFERROR(LARGE(LISTADO!$R$3:$R$202,42),"")</f>
      </c>
      <c r="F67" s="18">
        <f>IFERROR(INDEX(LISTADO!$S$3:$S$202,MATCH(LARGE(LISTADO!$R$3:$R$202,42),LISTADO!$R$3:$R$202,0)),"")</f>
      </c>
    </row>
    <row r="68" ht="18" customHeight="1" spans="1:6" x14ac:dyDescent="0.25">
      <c r="A68" s="11">
        <v>43</v>
      </c>
      <c r="B68" s="29">
        <f>IFERROR(INDEX(LISTADO!$D$3:$D$202,MATCH(LARGE(LISTADO!$R$3:$R$202,43),LISTADO!$R$3:$R$202,0)),"")</f>
      </c>
      <c r="C68" s="29">
        <f>IFERROR(INDEX(LISTADO!$E$3:$E$202,MATCH(LARGE(LISTADO!$R$3:$R$202,43),LISTADO!$R$3:$R$202,0)),"")</f>
      </c>
      <c r="D68" s="29">
        <f>IFERROR(INDEX(LISTADO!$F$3:$F$202,MATCH(LARGE(LISTADO!$R$3:$R$202,43),LISTADO!$R$3:$R$202,0)),"")</f>
      </c>
      <c r="E68" s="10">
        <f>IFERROR(LARGE(LISTADO!$R$3:$R$202,43),"")</f>
      </c>
      <c r="F68" s="11">
        <f>IFERROR(INDEX(LISTADO!$S$3:$S$202,MATCH(LARGE(LISTADO!$R$3:$R$202,43),LISTADO!$R$3:$R$202,0)),"")</f>
      </c>
    </row>
    <row r="69" ht="18" customHeight="1" spans="1:6" x14ac:dyDescent="0.25">
      <c r="A69" s="18">
        <v>44</v>
      </c>
      <c r="B69" s="30">
        <f>IFERROR(INDEX(LISTADO!$D$3:$D$202,MATCH(LARGE(LISTADO!$R$3:$R$202,44),LISTADO!$R$3:$R$202,0)),"")</f>
      </c>
      <c r="C69" s="30">
        <f>IFERROR(INDEX(LISTADO!$E$3:$E$202,MATCH(LARGE(LISTADO!$R$3:$R$202,44),LISTADO!$R$3:$R$202,0)),"")</f>
      </c>
      <c r="D69" s="30">
        <f>IFERROR(INDEX(LISTADO!$F$3:$F$202,MATCH(LARGE(LISTADO!$R$3:$R$202,44),LISTADO!$R$3:$R$202,0)),"")</f>
      </c>
      <c r="E69" s="17">
        <f>IFERROR(LARGE(LISTADO!$R$3:$R$202,44),"")</f>
      </c>
      <c r="F69" s="18">
        <f>IFERROR(INDEX(LISTADO!$S$3:$S$202,MATCH(LARGE(LISTADO!$R$3:$R$202,44),LISTADO!$R$3:$R$202,0)),"")</f>
      </c>
    </row>
    <row r="70" ht="18" customHeight="1" spans="1:6" x14ac:dyDescent="0.25">
      <c r="A70" s="11">
        <v>45</v>
      </c>
      <c r="B70" s="29">
        <f>IFERROR(INDEX(LISTADO!$D$3:$D$202,MATCH(LARGE(LISTADO!$R$3:$R$202,45),LISTADO!$R$3:$R$202,0)),"")</f>
      </c>
      <c r="C70" s="29">
        <f>IFERROR(INDEX(LISTADO!$E$3:$E$202,MATCH(LARGE(LISTADO!$R$3:$R$202,45),LISTADO!$R$3:$R$202,0)),"")</f>
      </c>
      <c r="D70" s="29">
        <f>IFERROR(INDEX(LISTADO!$F$3:$F$202,MATCH(LARGE(LISTADO!$R$3:$R$202,45),LISTADO!$R$3:$R$202,0)),"")</f>
      </c>
      <c r="E70" s="10">
        <f>IFERROR(LARGE(LISTADO!$R$3:$R$202,45),"")</f>
      </c>
      <c r="F70" s="11">
        <f>IFERROR(INDEX(LISTADO!$S$3:$S$202,MATCH(LARGE(LISTADO!$R$3:$R$202,45),LISTADO!$R$3:$R$202,0)),"")</f>
      </c>
    </row>
    <row r="71" ht="18" customHeight="1" spans="1:6" x14ac:dyDescent="0.25">
      <c r="A71" s="18">
        <v>46</v>
      </c>
      <c r="B71" s="30">
        <f>IFERROR(INDEX(LISTADO!$D$3:$D$202,MATCH(LARGE(LISTADO!$R$3:$R$202,46),LISTADO!$R$3:$R$202,0)),"")</f>
      </c>
      <c r="C71" s="30">
        <f>IFERROR(INDEX(LISTADO!$E$3:$E$202,MATCH(LARGE(LISTADO!$R$3:$R$202,46),LISTADO!$R$3:$R$202,0)),"")</f>
      </c>
      <c r="D71" s="30">
        <f>IFERROR(INDEX(LISTADO!$F$3:$F$202,MATCH(LARGE(LISTADO!$R$3:$R$202,46),LISTADO!$R$3:$R$202,0)),"")</f>
      </c>
      <c r="E71" s="17">
        <f>IFERROR(LARGE(LISTADO!$R$3:$R$202,46),"")</f>
      </c>
      <c r="F71" s="18">
        <f>IFERROR(INDEX(LISTADO!$S$3:$S$202,MATCH(LARGE(LISTADO!$R$3:$R$202,46),LISTADO!$R$3:$R$202,0)),"")</f>
      </c>
    </row>
    <row r="72" ht="18" customHeight="1" spans="1:6" x14ac:dyDescent="0.25">
      <c r="A72" s="11">
        <v>47</v>
      </c>
      <c r="B72" s="29">
        <f>IFERROR(INDEX(LISTADO!$D$3:$D$202,MATCH(LARGE(LISTADO!$R$3:$R$202,47),LISTADO!$R$3:$R$202,0)),"")</f>
      </c>
      <c r="C72" s="29">
        <f>IFERROR(INDEX(LISTADO!$E$3:$E$202,MATCH(LARGE(LISTADO!$R$3:$R$202,47),LISTADO!$R$3:$R$202,0)),"")</f>
      </c>
      <c r="D72" s="29">
        <f>IFERROR(INDEX(LISTADO!$F$3:$F$202,MATCH(LARGE(LISTADO!$R$3:$R$202,47),LISTADO!$R$3:$R$202,0)),"")</f>
      </c>
      <c r="E72" s="10">
        <f>IFERROR(LARGE(LISTADO!$R$3:$R$202,47),"")</f>
      </c>
      <c r="F72" s="11">
        <f>IFERROR(INDEX(LISTADO!$S$3:$S$202,MATCH(LARGE(LISTADO!$R$3:$R$202,47),LISTADO!$R$3:$R$202,0)),"")</f>
      </c>
    </row>
    <row r="73" ht="18" customHeight="1" spans="1:6" x14ac:dyDescent="0.25">
      <c r="A73" s="18">
        <v>48</v>
      </c>
      <c r="B73" s="30">
        <f>IFERROR(INDEX(LISTADO!$D$3:$D$202,MATCH(LARGE(LISTADO!$R$3:$R$202,48),LISTADO!$R$3:$R$202,0)),"")</f>
      </c>
      <c r="C73" s="30">
        <f>IFERROR(INDEX(LISTADO!$E$3:$E$202,MATCH(LARGE(LISTADO!$R$3:$R$202,48),LISTADO!$R$3:$R$202,0)),"")</f>
      </c>
      <c r="D73" s="30">
        <f>IFERROR(INDEX(LISTADO!$F$3:$F$202,MATCH(LARGE(LISTADO!$R$3:$R$202,48),LISTADO!$R$3:$R$202,0)),"")</f>
      </c>
      <c r="E73" s="17">
        <f>IFERROR(LARGE(LISTADO!$R$3:$R$202,48),"")</f>
      </c>
      <c r="F73" s="18">
        <f>IFERROR(INDEX(LISTADO!$S$3:$S$202,MATCH(LARGE(LISTADO!$R$3:$R$202,48),LISTADO!$R$3:$R$202,0)),"")</f>
      </c>
    </row>
    <row r="74" ht="18" customHeight="1" spans="1:6" x14ac:dyDescent="0.25">
      <c r="A74" s="11">
        <v>49</v>
      </c>
      <c r="B74" s="29">
        <f>IFERROR(INDEX(LISTADO!$D$3:$D$202,MATCH(LARGE(LISTADO!$R$3:$R$202,49),LISTADO!$R$3:$R$202,0)),"")</f>
      </c>
      <c r="C74" s="29">
        <f>IFERROR(INDEX(LISTADO!$E$3:$E$202,MATCH(LARGE(LISTADO!$R$3:$R$202,49),LISTADO!$R$3:$R$202,0)),"")</f>
      </c>
      <c r="D74" s="29">
        <f>IFERROR(INDEX(LISTADO!$F$3:$F$202,MATCH(LARGE(LISTADO!$R$3:$R$202,49),LISTADO!$R$3:$R$202,0)),"")</f>
      </c>
      <c r="E74" s="10">
        <f>IFERROR(LARGE(LISTADO!$R$3:$R$202,49),"")</f>
      </c>
      <c r="F74" s="11">
        <f>IFERROR(INDEX(LISTADO!$S$3:$S$202,MATCH(LARGE(LISTADO!$R$3:$R$202,49),LISTADO!$R$3:$R$202,0)),"")</f>
      </c>
    </row>
    <row r="75" ht="18" customHeight="1" spans="1:6" x14ac:dyDescent="0.25">
      <c r="A75" s="18">
        <v>50</v>
      </c>
      <c r="B75" s="30">
        <f>IFERROR(INDEX(LISTADO!$D$3:$D$202,MATCH(LARGE(LISTADO!$R$3:$R$202,50),LISTADO!$R$3:$R$202,0)),"")</f>
      </c>
      <c r="C75" s="30">
        <f>IFERROR(INDEX(LISTADO!$E$3:$E$202,MATCH(LARGE(LISTADO!$R$3:$R$202,50),LISTADO!$R$3:$R$202,0)),"")</f>
      </c>
      <c r="D75" s="30">
        <f>IFERROR(INDEX(LISTADO!$F$3:$F$202,MATCH(LARGE(LISTADO!$R$3:$R$202,50),LISTADO!$R$3:$R$202,0)),"")</f>
      </c>
      <c r="E75" s="17">
        <f>IFERROR(LARGE(LISTADO!$R$3:$R$202,50),"")</f>
      </c>
      <c r="F75" s="18">
        <f>IFERROR(INDEX(LISTADO!$S$3:$S$202,MATCH(LARGE(LISTADO!$R$3:$R$202,50),LISTADO!$R$3:$R$202,0)),"")</f>
      </c>
    </row>
    <row r="76" ht="18" customHeight="1" spans="1:6" x14ac:dyDescent="0.25">
      <c r="A76" s="11">
        <v>51</v>
      </c>
      <c r="B76" s="29">
        <f>IFERROR(INDEX(LISTADO!$D$3:$D$202,MATCH(LARGE(LISTADO!$R$3:$R$202,51),LISTADO!$R$3:$R$202,0)),"")</f>
      </c>
      <c r="C76" s="29">
        <f>IFERROR(INDEX(LISTADO!$E$3:$E$202,MATCH(LARGE(LISTADO!$R$3:$R$202,51),LISTADO!$R$3:$R$202,0)),"")</f>
      </c>
      <c r="D76" s="29">
        <f>IFERROR(INDEX(LISTADO!$F$3:$F$202,MATCH(LARGE(LISTADO!$R$3:$R$202,51),LISTADO!$R$3:$R$202,0)),"")</f>
      </c>
      <c r="E76" s="10">
        <f>IFERROR(LARGE(LISTADO!$R$3:$R$202,51),"")</f>
      </c>
      <c r="F76" s="11">
        <f>IFERROR(INDEX(LISTADO!$S$3:$S$202,MATCH(LARGE(LISTADO!$R$3:$R$202,51),LISTADO!$R$3:$R$202,0)),"")</f>
      </c>
    </row>
    <row r="77" ht="18" customHeight="1" spans="1:6" x14ac:dyDescent="0.25">
      <c r="A77" s="18">
        <v>52</v>
      </c>
      <c r="B77" s="30">
        <f>IFERROR(INDEX(LISTADO!$D$3:$D$202,MATCH(LARGE(LISTADO!$R$3:$R$202,52),LISTADO!$R$3:$R$202,0)),"")</f>
      </c>
      <c r="C77" s="30">
        <f>IFERROR(INDEX(LISTADO!$E$3:$E$202,MATCH(LARGE(LISTADO!$R$3:$R$202,52),LISTADO!$R$3:$R$202,0)),"")</f>
      </c>
      <c r="D77" s="30">
        <f>IFERROR(INDEX(LISTADO!$F$3:$F$202,MATCH(LARGE(LISTADO!$R$3:$R$202,52),LISTADO!$R$3:$R$202,0)),"")</f>
      </c>
      <c r="E77" s="17">
        <f>IFERROR(LARGE(LISTADO!$R$3:$R$202,52),"")</f>
      </c>
      <c r="F77" s="18">
        <f>IFERROR(INDEX(LISTADO!$S$3:$S$202,MATCH(LARGE(LISTADO!$R$3:$R$202,52),LISTADO!$R$3:$R$202,0)),"")</f>
      </c>
    </row>
    <row r="78" ht="18" customHeight="1" spans="1:6" x14ac:dyDescent="0.25">
      <c r="A78" s="11">
        <v>53</v>
      </c>
      <c r="B78" s="29">
        <f>IFERROR(INDEX(LISTADO!$D$3:$D$202,MATCH(LARGE(LISTADO!$R$3:$R$202,53),LISTADO!$R$3:$R$202,0)),"")</f>
      </c>
      <c r="C78" s="29">
        <f>IFERROR(INDEX(LISTADO!$E$3:$E$202,MATCH(LARGE(LISTADO!$R$3:$R$202,53),LISTADO!$R$3:$R$202,0)),"")</f>
      </c>
      <c r="D78" s="29">
        <f>IFERROR(INDEX(LISTADO!$F$3:$F$202,MATCH(LARGE(LISTADO!$R$3:$R$202,53),LISTADO!$R$3:$R$202,0)),"")</f>
      </c>
      <c r="E78" s="10">
        <f>IFERROR(LARGE(LISTADO!$R$3:$R$202,53),"")</f>
      </c>
      <c r="F78" s="11">
        <f>IFERROR(INDEX(LISTADO!$S$3:$S$202,MATCH(LARGE(LISTADO!$R$3:$R$202,53),LISTADO!$R$3:$R$202,0)),"")</f>
      </c>
    </row>
    <row r="79" ht="18" customHeight="1" spans="1:6" x14ac:dyDescent="0.25">
      <c r="A79" s="18">
        <v>54</v>
      </c>
      <c r="B79" s="30">
        <f>IFERROR(INDEX(LISTADO!$D$3:$D$202,MATCH(LARGE(LISTADO!$R$3:$R$202,54),LISTADO!$R$3:$R$202,0)),"")</f>
      </c>
      <c r="C79" s="30">
        <f>IFERROR(INDEX(LISTADO!$E$3:$E$202,MATCH(LARGE(LISTADO!$R$3:$R$202,54),LISTADO!$R$3:$R$202,0)),"")</f>
      </c>
      <c r="D79" s="30">
        <f>IFERROR(INDEX(LISTADO!$F$3:$F$202,MATCH(LARGE(LISTADO!$R$3:$R$202,54),LISTADO!$R$3:$R$202,0)),"")</f>
      </c>
      <c r="E79" s="17">
        <f>IFERROR(LARGE(LISTADO!$R$3:$R$202,54),"")</f>
      </c>
      <c r="F79" s="18">
        <f>IFERROR(INDEX(LISTADO!$S$3:$S$202,MATCH(LARGE(LISTADO!$R$3:$R$202,54),LISTADO!$R$3:$R$202,0)),"")</f>
      </c>
    </row>
    <row r="80" ht="18" customHeight="1" spans="1:6" x14ac:dyDescent="0.25">
      <c r="A80" s="11">
        <v>55</v>
      </c>
      <c r="B80" s="29">
        <f>IFERROR(INDEX(LISTADO!$D$3:$D$202,MATCH(LARGE(LISTADO!$R$3:$R$202,55),LISTADO!$R$3:$R$202,0)),"")</f>
      </c>
      <c r="C80" s="29">
        <f>IFERROR(INDEX(LISTADO!$E$3:$E$202,MATCH(LARGE(LISTADO!$R$3:$R$202,55),LISTADO!$R$3:$R$202,0)),"")</f>
      </c>
      <c r="D80" s="29">
        <f>IFERROR(INDEX(LISTADO!$F$3:$F$202,MATCH(LARGE(LISTADO!$R$3:$R$202,55),LISTADO!$R$3:$R$202,0)),"")</f>
      </c>
      <c r="E80" s="10">
        <f>IFERROR(LARGE(LISTADO!$R$3:$R$202,55),"")</f>
      </c>
      <c r="F80" s="11">
        <f>IFERROR(INDEX(LISTADO!$S$3:$S$202,MATCH(LARGE(LISTADO!$R$3:$R$202,55),LISTADO!$R$3:$R$202,0)),"")</f>
      </c>
    </row>
    <row r="81" ht="18" customHeight="1" spans="1:6" x14ac:dyDescent="0.25">
      <c r="A81" s="18">
        <v>56</v>
      </c>
      <c r="B81" s="30">
        <f>IFERROR(INDEX(LISTADO!$D$3:$D$202,MATCH(LARGE(LISTADO!$R$3:$R$202,56),LISTADO!$R$3:$R$202,0)),"")</f>
      </c>
      <c r="C81" s="30">
        <f>IFERROR(INDEX(LISTADO!$E$3:$E$202,MATCH(LARGE(LISTADO!$R$3:$R$202,56),LISTADO!$R$3:$R$202,0)),"")</f>
      </c>
      <c r="D81" s="30">
        <f>IFERROR(INDEX(LISTADO!$F$3:$F$202,MATCH(LARGE(LISTADO!$R$3:$R$202,56),LISTADO!$R$3:$R$202,0)),"")</f>
      </c>
      <c r="E81" s="17">
        <f>IFERROR(LARGE(LISTADO!$R$3:$R$202,56),"")</f>
      </c>
      <c r="F81" s="18">
        <f>IFERROR(INDEX(LISTADO!$S$3:$S$202,MATCH(LARGE(LISTADO!$R$3:$R$202,56),LISTADO!$R$3:$R$202,0)),"")</f>
      </c>
    </row>
    <row r="82" ht="18" customHeight="1" spans="1:6" x14ac:dyDescent="0.25">
      <c r="A82" s="11">
        <v>57</v>
      </c>
      <c r="B82" s="29">
        <f>IFERROR(INDEX(LISTADO!$D$3:$D$202,MATCH(LARGE(LISTADO!$R$3:$R$202,57),LISTADO!$R$3:$R$202,0)),"")</f>
      </c>
      <c r="C82" s="29">
        <f>IFERROR(INDEX(LISTADO!$E$3:$E$202,MATCH(LARGE(LISTADO!$R$3:$R$202,57),LISTADO!$R$3:$R$202,0)),"")</f>
      </c>
      <c r="D82" s="29">
        <f>IFERROR(INDEX(LISTADO!$F$3:$F$202,MATCH(LARGE(LISTADO!$R$3:$R$202,57),LISTADO!$R$3:$R$202,0)),"")</f>
      </c>
      <c r="E82" s="10">
        <f>IFERROR(LARGE(LISTADO!$R$3:$R$202,57),"")</f>
      </c>
      <c r="F82" s="11">
        <f>IFERROR(INDEX(LISTADO!$S$3:$S$202,MATCH(LARGE(LISTADO!$R$3:$R$202,57),LISTADO!$R$3:$R$202,0)),"")</f>
      </c>
    </row>
    <row r="83" ht="18" customHeight="1" spans="1:6" x14ac:dyDescent="0.25">
      <c r="A83" s="18">
        <v>58</v>
      </c>
      <c r="B83" s="30">
        <f>IFERROR(INDEX(LISTADO!$D$3:$D$202,MATCH(LARGE(LISTADO!$R$3:$R$202,58),LISTADO!$R$3:$R$202,0)),"")</f>
      </c>
      <c r="C83" s="30">
        <f>IFERROR(INDEX(LISTADO!$E$3:$E$202,MATCH(LARGE(LISTADO!$R$3:$R$202,58),LISTADO!$R$3:$R$202,0)),"")</f>
      </c>
      <c r="D83" s="30">
        <f>IFERROR(INDEX(LISTADO!$F$3:$F$202,MATCH(LARGE(LISTADO!$R$3:$R$202,58),LISTADO!$R$3:$R$202,0)),"")</f>
      </c>
      <c r="E83" s="17">
        <f>IFERROR(LARGE(LISTADO!$R$3:$R$202,58),"")</f>
      </c>
      <c r="F83" s="18">
        <f>IFERROR(INDEX(LISTADO!$S$3:$S$202,MATCH(LARGE(LISTADO!$R$3:$R$202,58),LISTADO!$R$3:$R$202,0)),"")</f>
      </c>
    </row>
    <row r="84" ht="18" customHeight="1" spans="1:6" x14ac:dyDescent="0.25">
      <c r="A84" s="11">
        <v>59</v>
      </c>
      <c r="B84" s="29">
        <f>IFERROR(INDEX(LISTADO!$D$3:$D$202,MATCH(LARGE(LISTADO!$R$3:$R$202,59),LISTADO!$R$3:$R$202,0)),"")</f>
      </c>
      <c r="C84" s="29">
        <f>IFERROR(INDEX(LISTADO!$E$3:$E$202,MATCH(LARGE(LISTADO!$R$3:$R$202,59),LISTADO!$R$3:$R$202,0)),"")</f>
      </c>
      <c r="D84" s="29">
        <f>IFERROR(INDEX(LISTADO!$F$3:$F$202,MATCH(LARGE(LISTADO!$R$3:$R$202,59),LISTADO!$R$3:$R$202,0)),"")</f>
      </c>
      <c r="E84" s="10">
        <f>IFERROR(LARGE(LISTADO!$R$3:$R$202,59),"")</f>
      </c>
      <c r="F84" s="11">
        <f>IFERROR(INDEX(LISTADO!$S$3:$S$202,MATCH(LARGE(LISTADO!$R$3:$R$202,59),LISTADO!$R$3:$R$202,0)),"")</f>
      </c>
    </row>
    <row r="85" ht="18" customHeight="1" spans="1:6" x14ac:dyDescent="0.25">
      <c r="A85" s="18">
        <v>60</v>
      </c>
      <c r="B85" s="30">
        <f>IFERROR(INDEX(LISTADO!$D$3:$D$202,MATCH(LARGE(LISTADO!$R$3:$R$202,60),LISTADO!$R$3:$R$202,0)),"")</f>
      </c>
      <c r="C85" s="30">
        <f>IFERROR(INDEX(LISTADO!$E$3:$E$202,MATCH(LARGE(LISTADO!$R$3:$R$202,60),LISTADO!$R$3:$R$202,0)),"")</f>
      </c>
      <c r="D85" s="30">
        <f>IFERROR(INDEX(LISTADO!$F$3:$F$202,MATCH(LARGE(LISTADO!$R$3:$R$202,60),LISTADO!$R$3:$R$202,0)),"")</f>
      </c>
      <c r="E85" s="17">
        <f>IFERROR(LARGE(LISTADO!$R$3:$R$202,60),"")</f>
      </c>
      <c r="F85" s="18">
        <f>IFERROR(INDEX(LISTADO!$S$3:$S$202,MATCH(LARGE(LISTADO!$R$3:$R$202,60),LISTADO!$R$3:$R$202,0)),"")</f>
      </c>
    </row>
    <row r="86" ht="18" customHeight="1" spans="1:6" x14ac:dyDescent="0.25">
      <c r="A86" s="11">
        <v>61</v>
      </c>
      <c r="B86" s="29">
        <f>IFERROR(INDEX(LISTADO!$D$3:$D$202,MATCH(LARGE(LISTADO!$R$3:$R$202,61),LISTADO!$R$3:$R$202,0)),"")</f>
      </c>
      <c r="C86" s="29">
        <f>IFERROR(INDEX(LISTADO!$E$3:$E$202,MATCH(LARGE(LISTADO!$R$3:$R$202,61),LISTADO!$R$3:$R$202,0)),"")</f>
      </c>
      <c r="D86" s="29">
        <f>IFERROR(INDEX(LISTADO!$F$3:$F$202,MATCH(LARGE(LISTADO!$R$3:$R$202,61),LISTADO!$R$3:$R$202,0)),"")</f>
      </c>
      <c r="E86" s="10">
        <f>IFERROR(LARGE(LISTADO!$R$3:$R$202,61),"")</f>
      </c>
      <c r="F86" s="11">
        <f>IFERROR(INDEX(LISTADO!$S$3:$S$202,MATCH(LARGE(LISTADO!$R$3:$R$202,61),LISTADO!$R$3:$R$202,0)),"")</f>
      </c>
    </row>
    <row r="87" ht="18" customHeight="1" spans="1:6" x14ac:dyDescent="0.25">
      <c r="A87" s="18">
        <v>62</v>
      </c>
      <c r="B87" s="30">
        <f>IFERROR(INDEX(LISTADO!$D$3:$D$202,MATCH(LARGE(LISTADO!$R$3:$R$202,62),LISTADO!$R$3:$R$202,0)),"")</f>
      </c>
      <c r="C87" s="30">
        <f>IFERROR(INDEX(LISTADO!$E$3:$E$202,MATCH(LARGE(LISTADO!$R$3:$R$202,62),LISTADO!$R$3:$R$202,0)),"")</f>
      </c>
      <c r="D87" s="30">
        <f>IFERROR(INDEX(LISTADO!$F$3:$F$202,MATCH(LARGE(LISTADO!$R$3:$R$202,62),LISTADO!$R$3:$R$202,0)),"")</f>
      </c>
      <c r="E87" s="17">
        <f>IFERROR(LARGE(LISTADO!$R$3:$R$202,62),"")</f>
      </c>
      <c r="F87" s="18">
        <f>IFERROR(INDEX(LISTADO!$S$3:$S$202,MATCH(LARGE(LISTADO!$R$3:$R$202,62),LISTADO!$R$3:$R$202,0)),"")</f>
      </c>
    </row>
    <row r="88" ht="18" customHeight="1" spans="1:6" x14ac:dyDescent="0.25">
      <c r="A88" s="11">
        <v>63</v>
      </c>
      <c r="B88" s="29">
        <f>IFERROR(INDEX(LISTADO!$D$3:$D$202,MATCH(LARGE(LISTADO!$R$3:$R$202,63),LISTADO!$R$3:$R$202,0)),"")</f>
      </c>
      <c r="C88" s="29">
        <f>IFERROR(INDEX(LISTADO!$E$3:$E$202,MATCH(LARGE(LISTADO!$R$3:$R$202,63),LISTADO!$R$3:$R$202,0)),"")</f>
      </c>
      <c r="D88" s="29">
        <f>IFERROR(INDEX(LISTADO!$F$3:$F$202,MATCH(LARGE(LISTADO!$R$3:$R$202,63),LISTADO!$R$3:$R$202,0)),"")</f>
      </c>
      <c r="E88" s="10">
        <f>IFERROR(LARGE(LISTADO!$R$3:$R$202,63),"")</f>
      </c>
      <c r="F88" s="11">
        <f>IFERROR(INDEX(LISTADO!$S$3:$S$202,MATCH(LARGE(LISTADO!$R$3:$R$202,63),LISTADO!$R$3:$R$202,0)),"")</f>
      </c>
    </row>
    <row r="89" ht="18" customHeight="1" spans="1:6" x14ac:dyDescent="0.25">
      <c r="A89" s="18">
        <v>64</v>
      </c>
      <c r="B89" s="30">
        <f>IFERROR(INDEX(LISTADO!$D$3:$D$202,MATCH(LARGE(LISTADO!$R$3:$R$202,64),LISTADO!$R$3:$R$202,0)),"")</f>
      </c>
      <c r="C89" s="30">
        <f>IFERROR(INDEX(LISTADO!$E$3:$E$202,MATCH(LARGE(LISTADO!$R$3:$R$202,64),LISTADO!$R$3:$R$202,0)),"")</f>
      </c>
      <c r="D89" s="30">
        <f>IFERROR(INDEX(LISTADO!$F$3:$F$202,MATCH(LARGE(LISTADO!$R$3:$R$202,64),LISTADO!$R$3:$R$202,0)),"")</f>
      </c>
      <c r="E89" s="17">
        <f>IFERROR(LARGE(LISTADO!$R$3:$R$202,64),"")</f>
      </c>
      <c r="F89" s="18">
        <f>IFERROR(INDEX(LISTADO!$S$3:$S$202,MATCH(LARGE(LISTADO!$R$3:$R$202,64),LISTADO!$R$3:$R$202,0)),"")</f>
      </c>
    </row>
    <row r="90" ht="18" customHeight="1" spans="1:6" x14ac:dyDescent="0.25">
      <c r="A90" s="11">
        <v>65</v>
      </c>
      <c r="B90" s="29">
        <f>IFERROR(INDEX(LISTADO!$D$3:$D$202,MATCH(LARGE(LISTADO!$R$3:$R$202,65),LISTADO!$R$3:$R$202,0)),"")</f>
      </c>
      <c r="C90" s="29">
        <f>IFERROR(INDEX(LISTADO!$E$3:$E$202,MATCH(LARGE(LISTADO!$R$3:$R$202,65),LISTADO!$R$3:$R$202,0)),"")</f>
      </c>
      <c r="D90" s="29">
        <f>IFERROR(INDEX(LISTADO!$F$3:$F$202,MATCH(LARGE(LISTADO!$R$3:$R$202,65),LISTADO!$R$3:$R$202,0)),"")</f>
      </c>
      <c r="E90" s="10">
        <f>IFERROR(LARGE(LISTADO!$R$3:$R$202,65),"")</f>
      </c>
      <c r="F90" s="11">
        <f>IFERROR(INDEX(LISTADO!$S$3:$S$202,MATCH(LARGE(LISTADO!$R$3:$R$202,65),LISTADO!$R$3:$R$202,0)),"")</f>
      </c>
    </row>
    <row r="91" ht="18" customHeight="1" spans="1:6" x14ac:dyDescent="0.25">
      <c r="A91" s="18">
        <v>66</v>
      </c>
      <c r="B91" s="30">
        <f>IFERROR(INDEX(LISTADO!$D$3:$D$202,MATCH(LARGE(LISTADO!$R$3:$R$202,66),LISTADO!$R$3:$R$202,0)),"")</f>
      </c>
      <c r="C91" s="30">
        <f>IFERROR(INDEX(LISTADO!$E$3:$E$202,MATCH(LARGE(LISTADO!$R$3:$R$202,66),LISTADO!$R$3:$R$202,0)),"")</f>
      </c>
      <c r="D91" s="30">
        <f>IFERROR(INDEX(LISTADO!$F$3:$F$202,MATCH(LARGE(LISTADO!$R$3:$R$202,66),LISTADO!$R$3:$R$202,0)),"")</f>
      </c>
      <c r="E91" s="17">
        <f>IFERROR(LARGE(LISTADO!$R$3:$R$202,66),"")</f>
      </c>
      <c r="F91" s="18">
        <f>IFERROR(INDEX(LISTADO!$S$3:$S$202,MATCH(LARGE(LISTADO!$R$3:$R$202,66),LISTADO!$R$3:$R$202,0)),"")</f>
      </c>
    </row>
    <row r="92" ht="18" customHeight="1" spans="1:6" x14ac:dyDescent="0.25">
      <c r="A92" s="11">
        <v>67</v>
      </c>
      <c r="B92" s="29">
        <f>IFERROR(INDEX(LISTADO!$D$3:$D$202,MATCH(LARGE(LISTADO!$R$3:$R$202,67),LISTADO!$R$3:$R$202,0)),"")</f>
      </c>
      <c r="C92" s="29">
        <f>IFERROR(INDEX(LISTADO!$E$3:$E$202,MATCH(LARGE(LISTADO!$R$3:$R$202,67),LISTADO!$R$3:$R$202,0)),"")</f>
      </c>
      <c r="D92" s="29">
        <f>IFERROR(INDEX(LISTADO!$F$3:$F$202,MATCH(LARGE(LISTADO!$R$3:$R$202,67),LISTADO!$R$3:$R$202,0)),"")</f>
      </c>
      <c r="E92" s="10">
        <f>IFERROR(LARGE(LISTADO!$R$3:$R$202,67),"")</f>
      </c>
      <c r="F92" s="11">
        <f>IFERROR(INDEX(LISTADO!$S$3:$S$202,MATCH(LARGE(LISTADO!$R$3:$R$202,67),LISTADO!$R$3:$R$202,0)),"")</f>
      </c>
    </row>
    <row r="93" ht="18" customHeight="1" spans="1:6" x14ac:dyDescent="0.25">
      <c r="A93" s="18">
        <v>68</v>
      </c>
      <c r="B93" s="30">
        <f>IFERROR(INDEX(LISTADO!$D$3:$D$202,MATCH(LARGE(LISTADO!$R$3:$R$202,68),LISTADO!$R$3:$R$202,0)),"")</f>
      </c>
      <c r="C93" s="30">
        <f>IFERROR(INDEX(LISTADO!$E$3:$E$202,MATCH(LARGE(LISTADO!$R$3:$R$202,68),LISTADO!$R$3:$R$202,0)),"")</f>
      </c>
      <c r="D93" s="30">
        <f>IFERROR(INDEX(LISTADO!$F$3:$F$202,MATCH(LARGE(LISTADO!$R$3:$R$202,68),LISTADO!$R$3:$R$202,0)),"")</f>
      </c>
      <c r="E93" s="17">
        <f>IFERROR(LARGE(LISTADO!$R$3:$R$202,68),"")</f>
      </c>
      <c r="F93" s="18">
        <f>IFERROR(INDEX(LISTADO!$S$3:$S$202,MATCH(LARGE(LISTADO!$R$3:$R$202,68),LISTADO!$R$3:$R$202,0)),"")</f>
      </c>
    </row>
    <row r="94" ht="18" customHeight="1" spans="1:6" x14ac:dyDescent="0.25">
      <c r="A94" s="11">
        <v>69</v>
      </c>
      <c r="B94" s="29">
        <f>IFERROR(INDEX(LISTADO!$D$3:$D$202,MATCH(LARGE(LISTADO!$R$3:$R$202,69),LISTADO!$R$3:$R$202,0)),"")</f>
      </c>
      <c r="C94" s="29">
        <f>IFERROR(INDEX(LISTADO!$E$3:$E$202,MATCH(LARGE(LISTADO!$R$3:$R$202,69),LISTADO!$R$3:$R$202,0)),"")</f>
      </c>
      <c r="D94" s="29">
        <f>IFERROR(INDEX(LISTADO!$F$3:$F$202,MATCH(LARGE(LISTADO!$R$3:$R$202,69),LISTADO!$R$3:$R$202,0)),"")</f>
      </c>
      <c r="E94" s="10">
        <f>IFERROR(LARGE(LISTADO!$R$3:$R$202,69),"")</f>
      </c>
      <c r="F94" s="11">
        <f>IFERROR(INDEX(LISTADO!$S$3:$S$202,MATCH(LARGE(LISTADO!$R$3:$R$202,69),LISTADO!$R$3:$R$202,0)),"")</f>
      </c>
    </row>
    <row r="95" ht="18" customHeight="1" spans="1:6" x14ac:dyDescent="0.25">
      <c r="A95" s="18">
        <v>70</v>
      </c>
      <c r="B95" s="30">
        <f>IFERROR(INDEX(LISTADO!$D$3:$D$202,MATCH(LARGE(LISTADO!$R$3:$R$202,70),LISTADO!$R$3:$R$202,0)),"")</f>
      </c>
      <c r="C95" s="30">
        <f>IFERROR(INDEX(LISTADO!$E$3:$E$202,MATCH(LARGE(LISTADO!$R$3:$R$202,70),LISTADO!$R$3:$R$202,0)),"")</f>
      </c>
      <c r="D95" s="30">
        <f>IFERROR(INDEX(LISTADO!$F$3:$F$202,MATCH(LARGE(LISTADO!$R$3:$R$202,70),LISTADO!$R$3:$R$202,0)),"")</f>
      </c>
      <c r="E95" s="17">
        <f>IFERROR(LARGE(LISTADO!$R$3:$R$202,70),"")</f>
      </c>
      <c r="F95" s="18">
        <f>IFERROR(INDEX(LISTADO!$S$3:$S$202,MATCH(LARGE(LISTADO!$R$3:$R$202,70),LISTADO!$R$3:$R$202,0)),"")</f>
      </c>
    </row>
    <row r="96" ht="18" customHeight="1" spans="1:6" x14ac:dyDescent="0.25">
      <c r="A96" s="11">
        <v>71</v>
      </c>
      <c r="B96" s="29">
        <f>IFERROR(INDEX(LISTADO!$D$3:$D$202,MATCH(LARGE(LISTADO!$R$3:$R$202,71),LISTADO!$R$3:$R$202,0)),"")</f>
      </c>
      <c r="C96" s="29">
        <f>IFERROR(INDEX(LISTADO!$E$3:$E$202,MATCH(LARGE(LISTADO!$R$3:$R$202,71),LISTADO!$R$3:$R$202,0)),"")</f>
      </c>
      <c r="D96" s="29">
        <f>IFERROR(INDEX(LISTADO!$F$3:$F$202,MATCH(LARGE(LISTADO!$R$3:$R$202,71),LISTADO!$R$3:$R$202,0)),"")</f>
      </c>
      <c r="E96" s="10">
        <f>IFERROR(LARGE(LISTADO!$R$3:$R$202,71),"")</f>
      </c>
      <c r="F96" s="11">
        <f>IFERROR(INDEX(LISTADO!$S$3:$S$202,MATCH(LARGE(LISTADO!$R$3:$R$202,71),LISTADO!$R$3:$R$202,0)),"")</f>
      </c>
    </row>
    <row r="97" ht="18" customHeight="1" spans="1:6" x14ac:dyDescent="0.25">
      <c r="A97" s="18">
        <v>72</v>
      </c>
      <c r="B97" s="30">
        <f>IFERROR(INDEX(LISTADO!$D$3:$D$202,MATCH(LARGE(LISTADO!$R$3:$R$202,72),LISTADO!$R$3:$R$202,0)),"")</f>
      </c>
      <c r="C97" s="30">
        <f>IFERROR(INDEX(LISTADO!$E$3:$E$202,MATCH(LARGE(LISTADO!$R$3:$R$202,72),LISTADO!$R$3:$R$202,0)),"")</f>
      </c>
      <c r="D97" s="30">
        <f>IFERROR(INDEX(LISTADO!$F$3:$F$202,MATCH(LARGE(LISTADO!$R$3:$R$202,72),LISTADO!$R$3:$R$202,0)),"")</f>
      </c>
      <c r="E97" s="17">
        <f>IFERROR(LARGE(LISTADO!$R$3:$R$202,72),"")</f>
      </c>
      <c r="F97" s="18">
        <f>IFERROR(INDEX(LISTADO!$S$3:$S$202,MATCH(LARGE(LISTADO!$R$3:$R$202,72),LISTADO!$R$3:$R$202,0)),"")</f>
      </c>
    </row>
    <row r="98" ht="18" customHeight="1" spans="1:6" x14ac:dyDescent="0.25">
      <c r="A98" s="11">
        <v>73</v>
      </c>
      <c r="B98" s="29">
        <f>IFERROR(INDEX(LISTADO!$D$3:$D$202,MATCH(LARGE(LISTADO!$R$3:$R$202,73),LISTADO!$R$3:$R$202,0)),"")</f>
      </c>
      <c r="C98" s="29">
        <f>IFERROR(INDEX(LISTADO!$E$3:$E$202,MATCH(LARGE(LISTADO!$R$3:$R$202,73),LISTADO!$R$3:$R$202,0)),"")</f>
      </c>
      <c r="D98" s="29">
        <f>IFERROR(INDEX(LISTADO!$F$3:$F$202,MATCH(LARGE(LISTADO!$R$3:$R$202,73),LISTADO!$R$3:$R$202,0)),"")</f>
      </c>
      <c r="E98" s="10">
        <f>IFERROR(LARGE(LISTADO!$R$3:$R$202,73),"")</f>
      </c>
      <c r="F98" s="11">
        <f>IFERROR(INDEX(LISTADO!$S$3:$S$202,MATCH(LARGE(LISTADO!$R$3:$R$202,73),LISTADO!$R$3:$R$202,0)),"")</f>
      </c>
    </row>
    <row r="99" ht="18" customHeight="1" spans="1:6" x14ac:dyDescent="0.25">
      <c r="A99" s="18">
        <v>74</v>
      </c>
      <c r="B99" s="30">
        <f>IFERROR(INDEX(LISTADO!$D$3:$D$202,MATCH(LARGE(LISTADO!$R$3:$R$202,74),LISTADO!$R$3:$R$202,0)),"")</f>
      </c>
      <c r="C99" s="30">
        <f>IFERROR(INDEX(LISTADO!$E$3:$E$202,MATCH(LARGE(LISTADO!$R$3:$R$202,74),LISTADO!$R$3:$R$202,0)),"")</f>
      </c>
      <c r="D99" s="30">
        <f>IFERROR(INDEX(LISTADO!$F$3:$F$202,MATCH(LARGE(LISTADO!$R$3:$R$202,74),LISTADO!$R$3:$R$202,0)),"")</f>
      </c>
      <c r="E99" s="17">
        <f>IFERROR(LARGE(LISTADO!$R$3:$R$202,74),"")</f>
      </c>
      <c r="F99" s="18">
        <f>IFERROR(INDEX(LISTADO!$S$3:$S$202,MATCH(LARGE(LISTADO!$R$3:$R$202,74),LISTADO!$R$3:$R$202,0)),"")</f>
      </c>
    </row>
    <row r="100" ht="18" customHeight="1" spans="1:6" x14ac:dyDescent="0.25">
      <c r="A100" s="11">
        <v>75</v>
      </c>
      <c r="B100" s="29">
        <f>IFERROR(INDEX(LISTADO!$D$3:$D$202,MATCH(LARGE(LISTADO!$R$3:$R$202,75),LISTADO!$R$3:$R$202,0)),"")</f>
      </c>
      <c r="C100" s="29">
        <f>IFERROR(INDEX(LISTADO!$E$3:$E$202,MATCH(LARGE(LISTADO!$R$3:$R$202,75),LISTADO!$R$3:$R$202,0)),"")</f>
      </c>
      <c r="D100" s="29">
        <f>IFERROR(INDEX(LISTADO!$F$3:$F$202,MATCH(LARGE(LISTADO!$R$3:$R$202,75),LISTADO!$R$3:$R$202,0)),"")</f>
      </c>
      <c r="E100" s="10">
        <f>IFERROR(LARGE(LISTADO!$R$3:$R$202,75),"")</f>
      </c>
      <c r="F100" s="11">
        <f>IFERROR(INDEX(LISTADO!$S$3:$S$202,MATCH(LARGE(LISTADO!$R$3:$R$202,75),LISTADO!$R$3:$R$202,0)),"")</f>
      </c>
    </row>
    <row r="101" ht="18" customHeight="1" spans="1:6" x14ac:dyDescent="0.25">
      <c r="A101" s="18">
        <v>76</v>
      </c>
      <c r="B101" s="30">
        <f>IFERROR(INDEX(LISTADO!$D$3:$D$202,MATCH(LARGE(LISTADO!$R$3:$R$202,76),LISTADO!$R$3:$R$202,0)),"")</f>
      </c>
      <c r="C101" s="30">
        <f>IFERROR(INDEX(LISTADO!$E$3:$E$202,MATCH(LARGE(LISTADO!$R$3:$R$202,76),LISTADO!$R$3:$R$202,0)),"")</f>
      </c>
      <c r="D101" s="30">
        <f>IFERROR(INDEX(LISTADO!$F$3:$F$202,MATCH(LARGE(LISTADO!$R$3:$R$202,76),LISTADO!$R$3:$R$202,0)),"")</f>
      </c>
      <c r="E101" s="17">
        <f>IFERROR(LARGE(LISTADO!$R$3:$R$202,76),"")</f>
      </c>
      <c r="F101" s="18">
        <f>IFERROR(INDEX(LISTADO!$S$3:$S$202,MATCH(LARGE(LISTADO!$R$3:$R$202,76),LISTADO!$R$3:$R$202,0)),"")</f>
      </c>
    </row>
    <row r="102" ht="18" customHeight="1" spans="1:6" x14ac:dyDescent="0.25">
      <c r="A102" s="11">
        <v>77</v>
      </c>
      <c r="B102" s="29">
        <f>IFERROR(INDEX(LISTADO!$D$3:$D$202,MATCH(LARGE(LISTADO!$R$3:$R$202,77),LISTADO!$R$3:$R$202,0)),"")</f>
      </c>
      <c r="C102" s="29">
        <f>IFERROR(INDEX(LISTADO!$E$3:$E$202,MATCH(LARGE(LISTADO!$R$3:$R$202,77),LISTADO!$R$3:$R$202,0)),"")</f>
      </c>
      <c r="D102" s="29">
        <f>IFERROR(INDEX(LISTADO!$F$3:$F$202,MATCH(LARGE(LISTADO!$R$3:$R$202,77),LISTADO!$R$3:$R$202,0)),"")</f>
      </c>
      <c r="E102" s="10">
        <f>IFERROR(LARGE(LISTADO!$R$3:$R$202,77),"")</f>
      </c>
      <c r="F102" s="11">
        <f>IFERROR(INDEX(LISTADO!$S$3:$S$202,MATCH(LARGE(LISTADO!$R$3:$R$202,77),LISTADO!$R$3:$R$202,0)),"")</f>
      </c>
    </row>
    <row r="103" ht="18" customHeight="1" spans="1:6" x14ac:dyDescent="0.25">
      <c r="A103" s="18">
        <v>78</v>
      </c>
      <c r="B103" s="30">
        <f>IFERROR(INDEX(LISTADO!$D$3:$D$202,MATCH(LARGE(LISTADO!$R$3:$R$202,78),LISTADO!$R$3:$R$202,0)),"")</f>
      </c>
      <c r="C103" s="30">
        <f>IFERROR(INDEX(LISTADO!$E$3:$E$202,MATCH(LARGE(LISTADO!$R$3:$R$202,78),LISTADO!$R$3:$R$202,0)),"")</f>
      </c>
      <c r="D103" s="30">
        <f>IFERROR(INDEX(LISTADO!$F$3:$F$202,MATCH(LARGE(LISTADO!$R$3:$R$202,78),LISTADO!$R$3:$R$202,0)),"")</f>
      </c>
      <c r="E103" s="17">
        <f>IFERROR(LARGE(LISTADO!$R$3:$R$202,78),"")</f>
      </c>
      <c r="F103" s="18">
        <f>IFERROR(INDEX(LISTADO!$S$3:$S$202,MATCH(LARGE(LISTADO!$R$3:$R$202,78),LISTADO!$R$3:$R$202,0)),"")</f>
      </c>
    </row>
    <row r="104" ht="18" customHeight="1" spans="1:6" x14ac:dyDescent="0.25">
      <c r="A104" s="11">
        <v>79</v>
      </c>
      <c r="B104" s="29">
        <f>IFERROR(INDEX(LISTADO!$D$3:$D$202,MATCH(LARGE(LISTADO!$R$3:$R$202,79),LISTADO!$R$3:$R$202,0)),"")</f>
      </c>
      <c r="C104" s="29">
        <f>IFERROR(INDEX(LISTADO!$E$3:$E$202,MATCH(LARGE(LISTADO!$R$3:$R$202,79),LISTADO!$R$3:$R$202,0)),"")</f>
      </c>
      <c r="D104" s="29">
        <f>IFERROR(INDEX(LISTADO!$F$3:$F$202,MATCH(LARGE(LISTADO!$R$3:$R$202,79),LISTADO!$R$3:$R$202,0)),"")</f>
      </c>
      <c r="E104" s="10">
        <f>IFERROR(LARGE(LISTADO!$R$3:$R$202,79),"")</f>
      </c>
      <c r="F104" s="11">
        <f>IFERROR(INDEX(LISTADO!$S$3:$S$202,MATCH(LARGE(LISTADO!$R$3:$R$202,79),LISTADO!$R$3:$R$202,0)),"")</f>
      </c>
    </row>
    <row r="105" ht="18" customHeight="1" spans="1:6" x14ac:dyDescent="0.25">
      <c r="A105" s="18">
        <v>80</v>
      </c>
      <c r="B105" s="30">
        <f>IFERROR(INDEX(LISTADO!$D$3:$D$202,MATCH(LARGE(LISTADO!$R$3:$R$202,80),LISTADO!$R$3:$R$202,0)),"")</f>
      </c>
      <c r="C105" s="30">
        <f>IFERROR(INDEX(LISTADO!$E$3:$E$202,MATCH(LARGE(LISTADO!$R$3:$R$202,80),LISTADO!$R$3:$R$202,0)),"")</f>
      </c>
      <c r="D105" s="30">
        <f>IFERROR(INDEX(LISTADO!$F$3:$F$202,MATCH(LARGE(LISTADO!$R$3:$R$202,80),LISTADO!$R$3:$R$202,0)),"")</f>
      </c>
      <c r="E105" s="17">
        <f>IFERROR(LARGE(LISTADO!$R$3:$R$202,80),"")</f>
      </c>
      <c r="F105" s="18">
        <f>IFERROR(INDEX(LISTADO!$S$3:$S$202,MATCH(LARGE(LISTADO!$R$3:$R$202,80),LISTADO!$R$3:$R$202,0)),"")</f>
      </c>
    </row>
    <row r="106" ht="18" customHeight="1" spans="1:6" x14ac:dyDescent="0.25">
      <c r="A106" s="11">
        <v>81</v>
      </c>
      <c r="B106" s="29">
        <f>IFERROR(INDEX(LISTADO!$D$3:$D$202,MATCH(LARGE(LISTADO!$R$3:$R$202,81),LISTADO!$R$3:$R$202,0)),"")</f>
      </c>
      <c r="C106" s="29">
        <f>IFERROR(INDEX(LISTADO!$E$3:$E$202,MATCH(LARGE(LISTADO!$R$3:$R$202,81),LISTADO!$R$3:$R$202,0)),"")</f>
      </c>
      <c r="D106" s="29">
        <f>IFERROR(INDEX(LISTADO!$F$3:$F$202,MATCH(LARGE(LISTADO!$R$3:$R$202,81),LISTADO!$R$3:$R$202,0)),"")</f>
      </c>
      <c r="E106" s="10">
        <f>IFERROR(LARGE(LISTADO!$R$3:$R$202,81),"")</f>
      </c>
      <c r="F106" s="11">
        <f>IFERROR(INDEX(LISTADO!$S$3:$S$202,MATCH(LARGE(LISTADO!$R$3:$R$202,81),LISTADO!$R$3:$R$202,0)),"")</f>
      </c>
    </row>
    <row r="107" ht="18" customHeight="1" spans="1:6" x14ac:dyDescent="0.25">
      <c r="A107" s="18">
        <v>82</v>
      </c>
      <c r="B107" s="30">
        <f>IFERROR(INDEX(LISTADO!$D$3:$D$202,MATCH(LARGE(LISTADO!$R$3:$R$202,82),LISTADO!$R$3:$R$202,0)),"")</f>
      </c>
      <c r="C107" s="30">
        <f>IFERROR(INDEX(LISTADO!$E$3:$E$202,MATCH(LARGE(LISTADO!$R$3:$R$202,82),LISTADO!$R$3:$R$202,0)),"")</f>
      </c>
      <c r="D107" s="30">
        <f>IFERROR(INDEX(LISTADO!$F$3:$F$202,MATCH(LARGE(LISTADO!$R$3:$R$202,82),LISTADO!$R$3:$R$202,0)),"")</f>
      </c>
      <c r="E107" s="17">
        <f>IFERROR(LARGE(LISTADO!$R$3:$R$202,82),"")</f>
      </c>
      <c r="F107" s="18">
        <f>IFERROR(INDEX(LISTADO!$S$3:$S$202,MATCH(LARGE(LISTADO!$R$3:$R$202,82),LISTADO!$R$3:$R$202,0)),"")</f>
      </c>
    </row>
    <row r="108" ht="18" customHeight="1" spans="1:6" x14ac:dyDescent="0.25">
      <c r="A108" s="11">
        <v>83</v>
      </c>
      <c r="B108" s="29">
        <f>IFERROR(INDEX(LISTADO!$D$3:$D$202,MATCH(LARGE(LISTADO!$R$3:$R$202,83),LISTADO!$R$3:$R$202,0)),"")</f>
      </c>
      <c r="C108" s="29">
        <f>IFERROR(INDEX(LISTADO!$E$3:$E$202,MATCH(LARGE(LISTADO!$R$3:$R$202,83),LISTADO!$R$3:$R$202,0)),"")</f>
      </c>
      <c r="D108" s="29">
        <f>IFERROR(INDEX(LISTADO!$F$3:$F$202,MATCH(LARGE(LISTADO!$R$3:$R$202,83),LISTADO!$R$3:$R$202,0)),"")</f>
      </c>
      <c r="E108" s="10">
        <f>IFERROR(LARGE(LISTADO!$R$3:$R$202,83),"")</f>
      </c>
      <c r="F108" s="11">
        <f>IFERROR(INDEX(LISTADO!$S$3:$S$202,MATCH(LARGE(LISTADO!$R$3:$R$202,83),LISTADO!$R$3:$R$202,0)),"")</f>
      </c>
    </row>
    <row r="109" ht="18" customHeight="1" spans="1:6" x14ac:dyDescent="0.25">
      <c r="A109" s="18">
        <v>84</v>
      </c>
      <c r="B109" s="30">
        <f>IFERROR(INDEX(LISTADO!$D$3:$D$202,MATCH(LARGE(LISTADO!$R$3:$R$202,84),LISTADO!$R$3:$R$202,0)),"")</f>
      </c>
      <c r="C109" s="30">
        <f>IFERROR(INDEX(LISTADO!$E$3:$E$202,MATCH(LARGE(LISTADO!$R$3:$R$202,84),LISTADO!$R$3:$R$202,0)),"")</f>
      </c>
      <c r="D109" s="30">
        <f>IFERROR(INDEX(LISTADO!$F$3:$F$202,MATCH(LARGE(LISTADO!$R$3:$R$202,84),LISTADO!$R$3:$R$202,0)),"")</f>
      </c>
      <c r="E109" s="17">
        <f>IFERROR(LARGE(LISTADO!$R$3:$R$202,84),"")</f>
      </c>
      <c r="F109" s="18">
        <f>IFERROR(INDEX(LISTADO!$S$3:$S$202,MATCH(LARGE(LISTADO!$R$3:$R$202,84),LISTADO!$R$3:$R$202,0)),"")</f>
      </c>
    </row>
    <row r="110" ht="18" customHeight="1" spans="1:6" x14ac:dyDescent="0.25">
      <c r="A110" s="11">
        <v>85</v>
      </c>
      <c r="B110" s="29">
        <f>IFERROR(INDEX(LISTADO!$D$3:$D$202,MATCH(LARGE(LISTADO!$R$3:$R$202,85),LISTADO!$R$3:$R$202,0)),"")</f>
      </c>
      <c r="C110" s="29">
        <f>IFERROR(INDEX(LISTADO!$E$3:$E$202,MATCH(LARGE(LISTADO!$R$3:$R$202,85),LISTADO!$R$3:$R$202,0)),"")</f>
      </c>
      <c r="D110" s="29">
        <f>IFERROR(INDEX(LISTADO!$F$3:$F$202,MATCH(LARGE(LISTADO!$R$3:$R$202,85),LISTADO!$R$3:$R$202,0)),"")</f>
      </c>
      <c r="E110" s="10">
        <f>IFERROR(LARGE(LISTADO!$R$3:$R$202,85),"")</f>
      </c>
      <c r="F110" s="11">
        <f>IFERROR(INDEX(LISTADO!$S$3:$S$202,MATCH(LARGE(LISTADO!$R$3:$R$202,85),LISTADO!$R$3:$R$202,0)),"")</f>
      </c>
    </row>
    <row r="111" ht="18" customHeight="1" spans="1:6" x14ac:dyDescent="0.25">
      <c r="A111" s="18">
        <v>86</v>
      </c>
      <c r="B111" s="30">
        <f>IFERROR(INDEX(LISTADO!$D$3:$D$202,MATCH(LARGE(LISTADO!$R$3:$R$202,86),LISTADO!$R$3:$R$202,0)),"")</f>
      </c>
      <c r="C111" s="30">
        <f>IFERROR(INDEX(LISTADO!$E$3:$E$202,MATCH(LARGE(LISTADO!$R$3:$R$202,86),LISTADO!$R$3:$R$202,0)),"")</f>
      </c>
      <c r="D111" s="30">
        <f>IFERROR(INDEX(LISTADO!$F$3:$F$202,MATCH(LARGE(LISTADO!$R$3:$R$202,86),LISTADO!$R$3:$R$202,0)),"")</f>
      </c>
      <c r="E111" s="17">
        <f>IFERROR(LARGE(LISTADO!$R$3:$R$202,86),"")</f>
      </c>
      <c r="F111" s="18">
        <f>IFERROR(INDEX(LISTADO!$S$3:$S$202,MATCH(LARGE(LISTADO!$R$3:$R$202,86),LISTADO!$R$3:$R$202,0)),"")</f>
      </c>
    </row>
    <row r="112" ht="18" customHeight="1" spans="1:6" x14ac:dyDescent="0.25">
      <c r="A112" s="11">
        <v>87</v>
      </c>
      <c r="B112" s="29">
        <f>IFERROR(INDEX(LISTADO!$D$3:$D$202,MATCH(LARGE(LISTADO!$R$3:$R$202,87),LISTADO!$R$3:$R$202,0)),"")</f>
      </c>
      <c r="C112" s="29">
        <f>IFERROR(INDEX(LISTADO!$E$3:$E$202,MATCH(LARGE(LISTADO!$R$3:$R$202,87),LISTADO!$R$3:$R$202,0)),"")</f>
      </c>
      <c r="D112" s="29">
        <f>IFERROR(INDEX(LISTADO!$F$3:$F$202,MATCH(LARGE(LISTADO!$R$3:$R$202,87),LISTADO!$R$3:$R$202,0)),"")</f>
      </c>
      <c r="E112" s="10">
        <f>IFERROR(LARGE(LISTADO!$R$3:$R$202,87),"")</f>
      </c>
      <c r="F112" s="11">
        <f>IFERROR(INDEX(LISTADO!$S$3:$S$202,MATCH(LARGE(LISTADO!$R$3:$R$202,87),LISTADO!$R$3:$R$202,0)),"")</f>
      </c>
    </row>
    <row r="113" ht="18" customHeight="1" spans="1:6" x14ac:dyDescent="0.25">
      <c r="A113" s="18">
        <v>88</v>
      </c>
      <c r="B113" s="30">
        <f>IFERROR(INDEX(LISTADO!$D$3:$D$202,MATCH(LARGE(LISTADO!$R$3:$R$202,88),LISTADO!$R$3:$R$202,0)),"")</f>
      </c>
      <c r="C113" s="30">
        <f>IFERROR(INDEX(LISTADO!$E$3:$E$202,MATCH(LARGE(LISTADO!$R$3:$R$202,88),LISTADO!$R$3:$R$202,0)),"")</f>
      </c>
      <c r="D113" s="30">
        <f>IFERROR(INDEX(LISTADO!$F$3:$F$202,MATCH(LARGE(LISTADO!$R$3:$R$202,88),LISTADO!$R$3:$R$202,0)),"")</f>
      </c>
      <c r="E113" s="17">
        <f>IFERROR(LARGE(LISTADO!$R$3:$R$202,88),"")</f>
      </c>
      <c r="F113" s="18">
        <f>IFERROR(INDEX(LISTADO!$S$3:$S$202,MATCH(LARGE(LISTADO!$R$3:$R$202,88),LISTADO!$R$3:$R$202,0)),"")</f>
      </c>
    </row>
    <row r="114" ht="18" customHeight="1" spans="1:6" x14ac:dyDescent="0.25">
      <c r="A114" s="11">
        <v>89</v>
      </c>
      <c r="B114" s="29">
        <f>IFERROR(INDEX(LISTADO!$D$3:$D$202,MATCH(LARGE(LISTADO!$R$3:$R$202,89),LISTADO!$R$3:$R$202,0)),"")</f>
      </c>
      <c r="C114" s="29">
        <f>IFERROR(INDEX(LISTADO!$E$3:$E$202,MATCH(LARGE(LISTADO!$R$3:$R$202,89),LISTADO!$R$3:$R$202,0)),"")</f>
      </c>
      <c r="D114" s="29">
        <f>IFERROR(INDEX(LISTADO!$F$3:$F$202,MATCH(LARGE(LISTADO!$R$3:$R$202,89),LISTADO!$R$3:$R$202,0)),"")</f>
      </c>
      <c r="E114" s="10">
        <f>IFERROR(LARGE(LISTADO!$R$3:$R$202,89),"")</f>
      </c>
      <c r="F114" s="11">
        <f>IFERROR(INDEX(LISTADO!$S$3:$S$202,MATCH(LARGE(LISTADO!$R$3:$R$202,89),LISTADO!$R$3:$R$202,0)),"")</f>
      </c>
    </row>
    <row r="115" ht="18" customHeight="1" spans="1:6" x14ac:dyDescent="0.25">
      <c r="A115" s="18">
        <v>90</v>
      </c>
      <c r="B115" s="30">
        <f>IFERROR(INDEX(LISTADO!$D$3:$D$202,MATCH(LARGE(LISTADO!$R$3:$R$202,90),LISTADO!$R$3:$R$202,0)),"")</f>
      </c>
      <c r="C115" s="30">
        <f>IFERROR(INDEX(LISTADO!$E$3:$E$202,MATCH(LARGE(LISTADO!$R$3:$R$202,90),LISTADO!$R$3:$R$202,0)),"")</f>
      </c>
      <c r="D115" s="30">
        <f>IFERROR(INDEX(LISTADO!$F$3:$F$202,MATCH(LARGE(LISTADO!$R$3:$R$202,90),LISTADO!$R$3:$R$202,0)),"")</f>
      </c>
      <c r="E115" s="17">
        <f>IFERROR(LARGE(LISTADO!$R$3:$R$202,90),"")</f>
      </c>
      <c r="F115" s="18">
        <f>IFERROR(INDEX(LISTADO!$S$3:$S$202,MATCH(LARGE(LISTADO!$R$3:$R$202,90),LISTADO!$R$3:$R$202,0)),"")</f>
      </c>
    </row>
    <row r="116" ht="18" customHeight="1" spans="1:6" x14ac:dyDescent="0.25">
      <c r="A116" s="11">
        <v>91</v>
      </c>
      <c r="B116" s="29">
        <f>IFERROR(INDEX(LISTADO!$D$3:$D$202,MATCH(LARGE(LISTADO!$R$3:$R$202,91),LISTADO!$R$3:$R$202,0)),"")</f>
      </c>
      <c r="C116" s="29">
        <f>IFERROR(INDEX(LISTADO!$E$3:$E$202,MATCH(LARGE(LISTADO!$R$3:$R$202,91),LISTADO!$R$3:$R$202,0)),"")</f>
      </c>
      <c r="D116" s="29">
        <f>IFERROR(INDEX(LISTADO!$F$3:$F$202,MATCH(LARGE(LISTADO!$R$3:$R$202,91),LISTADO!$R$3:$R$202,0)),"")</f>
      </c>
      <c r="E116" s="10">
        <f>IFERROR(LARGE(LISTADO!$R$3:$R$202,91),"")</f>
      </c>
      <c r="F116" s="11">
        <f>IFERROR(INDEX(LISTADO!$S$3:$S$202,MATCH(LARGE(LISTADO!$R$3:$R$202,91),LISTADO!$R$3:$R$202,0)),"")</f>
      </c>
    </row>
    <row r="117" ht="18" customHeight="1" spans="1:6" x14ac:dyDescent="0.25">
      <c r="A117" s="18">
        <v>92</v>
      </c>
      <c r="B117" s="30">
        <f>IFERROR(INDEX(LISTADO!$D$3:$D$202,MATCH(LARGE(LISTADO!$R$3:$R$202,92),LISTADO!$R$3:$R$202,0)),"")</f>
      </c>
      <c r="C117" s="30">
        <f>IFERROR(INDEX(LISTADO!$E$3:$E$202,MATCH(LARGE(LISTADO!$R$3:$R$202,92),LISTADO!$R$3:$R$202,0)),"")</f>
      </c>
      <c r="D117" s="30">
        <f>IFERROR(INDEX(LISTADO!$F$3:$F$202,MATCH(LARGE(LISTADO!$R$3:$R$202,92),LISTADO!$R$3:$R$202,0)),"")</f>
      </c>
      <c r="E117" s="17">
        <f>IFERROR(LARGE(LISTADO!$R$3:$R$202,92),"")</f>
      </c>
      <c r="F117" s="18">
        <f>IFERROR(INDEX(LISTADO!$S$3:$S$202,MATCH(LARGE(LISTADO!$R$3:$R$202,92),LISTADO!$R$3:$R$202,0)),"")</f>
      </c>
    </row>
    <row r="118" ht="18" customHeight="1" spans="1:6" x14ac:dyDescent="0.25">
      <c r="A118" s="11">
        <v>93</v>
      </c>
      <c r="B118" s="29">
        <f>IFERROR(INDEX(LISTADO!$D$3:$D$202,MATCH(LARGE(LISTADO!$R$3:$R$202,93),LISTADO!$R$3:$R$202,0)),"")</f>
      </c>
      <c r="C118" s="29">
        <f>IFERROR(INDEX(LISTADO!$E$3:$E$202,MATCH(LARGE(LISTADO!$R$3:$R$202,93),LISTADO!$R$3:$R$202,0)),"")</f>
      </c>
      <c r="D118" s="29">
        <f>IFERROR(INDEX(LISTADO!$F$3:$F$202,MATCH(LARGE(LISTADO!$R$3:$R$202,93),LISTADO!$R$3:$R$202,0)),"")</f>
      </c>
      <c r="E118" s="10">
        <f>IFERROR(LARGE(LISTADO!$R$3:$R$202,93),"")</f>
      </c>
      <c r="F118" s="11">
        <f>IFERROR(INDEX(LISTADO!$S$3:$S$202,MATCH(LARGE(LISTADO!$R$3:$R$202,93),LISTADO!$R$3:$R$202,0)),"")</f>
      </c>
    </row>
    <row r="119" ht="18" customHeight="1" spans="1:6" x14ac:dyDescent="0.25">
      <c r="A119" s="18">
        <v>94</v>
      </c>
      <c r="B119" s="30">
        <f>IFERROR(INDEX(LISTADO!$D$3:$D$202,MATCH(LARGE(LISTADO!$R$3:$R$202,94),LISTADO!$R$3:$R$202,0)),"")</f>
      </c>
      <c r="C119" s="30">
        <f>IFERROR(INDEX(LISTADO!$E$3:$E$202,MATCH(LARGE(LISTADO!$R$3:$R$202,94),LISTADO!$R$3:$R$202,0)),"")</f>
      </c>
      <c r="D119" s="30">
        <f>IFERROR(INDEX(LISTADO!$F$3:$F$202,MATCH(LARGE(LISTADO!$R$3:$R$202,94),LISTADO!$R$3:$R$202,0)),"")</f>
      </c>
      <c r="E119" s="17">
        <f>IFERROR(LARGE(LISTADO!$R$3:$R$202,94),"")</f>
      </c>
      <c r="F119" s="18">
        <f>IFERROR(INDEX(LISTADO!$S$3:$S$202,MATCH(LARGE(LISTADO!$R$3:$R$202,94),LISTADO!$R$3:$R$202,0)),"")</f>
      </c>
    </row>
    <row r="120" ht="18" customHeight="1" spans="1:6" x14ac:dyDescent="0.25">
      <c r="A120" s="11">
        <v>95</v>
      </c>
      <c r="B120" s="29">
        <f>IFERROR(INDEX(LISTADO!$D$3:$D$202,MATCH(LARGE(LISTADO!$R$3:$R$202,95),LISTADO!$R$3:$R$202,0)),"")</f>
      </c>
      <c r="C120" s="29">
        <f>IFERROR(INDEX(LISTADO!$E$3:$E$202,MATCH(LARGE(LISTADO!$R$3:$R$202,95),LISTADO!$R$3:$R$202,0)),"")</f>
      </c>
      <c r="D120" s="29">
        <f>IFERROR(INDEX(LISTADO!$F$3:$F$202,MATCH(LARGE(LISTADO!$R$3:$R$202,95),LISTADO!$R$3:$R$202,0)),"")</f>
      </c>
      <c r="E120" s="10">
        <f>IFERROR(LARGE(LISTADO!$R$3:$R$202,95),"")</f>
      </c>
      <c r="F120" s="11">
        <f>IFERROR(INDEX(LISTADO!$S$3:$S$202,MATCH(LARGE(LISTADO!$R$3:$R$202,95),LISTADO!$R$3:$R$202,0)),"")</f>
      </c>
    </row>
    <row r="121" ht="18" customHeight="1" spans="1:6" x14ac:dyDescent="0.25">
      <c r="A121" s="18">
        <v>96</v>
      </c>
      <c r="B121" s="30">
        <f>IFERROR(INDEX(LISTADO!$D$3:$D$202,MATCH(LARGE(LISTADO!$R$3:$R$202,96),LISTADO!$R$3:$R$202,0)),"")</f>
      </c>
      <c r="C121" s="30">
        <f>IFERROR(INDEX(LISTADO!$E$3:$E$202,MATCH(LARGE(LISTADO!$R$3:$R$202,96),LISTADO!$R$3:$R$202,0)),"")</f>
      </c>
      <c r="D121" s="30">
        <f>IFERROR(INDEX(LISTADO!$F$3:$F$202,MATCH(LARGE(LISTADO!$R$3:$R$202,96),LISTADO!$R$3:$R$202,0)),"")</f>
      </c>
      <c r="E121" s="17">
        <f>IFERROR(LARGE(LISTADO!$R$3:$R$202,96),"")</f>
      </c>
      <c r="F121" s="18">
        <f>IFERROR(INDEX(LISTADO!$S$3:$S$202,MATCH(LARGE(LISTADO!$R$3:$R$202,96),LISTADO!$R$3:$R$202,0)),"")</f>
      </c>
    </row>
    <row r="122" ht="18" customHeight="1" spans="1:6" x14ac:dyDescent="0.25">
      <c r="A122" s="11">
        <v>97</v>
      </c>
      <c r="B122" s="29">
        <f>IFERROR(INDEX(LISTADO!$D$3:$D$202,MATCH(LARGE(LISTADO!$R$3:$R$202,97),LISTADO!$R$3:$R$202,0)),"")</f>
      </c>
      <c r="C122" s="29">
        <f>IFERROR(INDEX(LISTADO!$E$3:$E$202,MATCH(LARGE(LISTADO!$R$3:$R$202,97),LISTADO!$R$3:$R$202,0)),"")</f>
      </c>
      <c r="D122" s="29">
        <f>IFERROR(INDEX(LISTADO!$F$3:$F$202,MATCH(LARGE(LISTADO!$R$3:$R$202,97),LISTADO!$R$3:$R$202,0)),"")</f>
      </c>
      <c r="E122" s="10">
        <f>IFERROR(LARGE(LISTADO!$R$3:$R$202,97),"")</f>
      </c>
      <c r="F122" s="11">
        <f>IFERROR(INDEX(LISTADO!$S$3:$S$202,MATCH(LARGE(LISTADO!$R$3:$R$202,97),LISTADO!$R$3:$R$202,0)),"")</f>
      </c>
    </row>
    <row r="123" ht="18" customHeight="1" spans="1:6" x14ac:dyDescent="0.25">
      <c r="A123" s="18">
        <v>98</v>
      </c>
      <c r="B123" s="30">
        <f>IFERROR(INDEX(LISTADO!$D$3:$D$202,MATCH(LARGE(LISTADO!$R$3:$R$202,98),LISTADO!$R$3:$R$202,0)),"")</f>
      </c>
      <c r="C123" s="30">
        <f>IFERROR(INDEX(LISTADO!$E$3:$E$202,MATCH(LARGE(LISTADO!$R$3:$R$202,98),LISTADO!$R$3:$R$202,0)),"")</f>
      </c>
      <c r="D123" s="30">
        <f>IFERROR(INDEX(LISTADO!$F$3:$F$202,MATCH(LARGE(LISTADO!$R$3:$R$202,98),LISTADO!$R$3:$R$202,0)),"")</f>
      </c>
      <c r="E123" s="17">
        <f>IFERROR(LARGE(LISTADO!$R$3:$R$202,98),"")</f>
      </c>
      <c r="F123" s="18">
        <f>IFERROR(INDEX(LISTADO!$S$3:$S$202,MATCH(LARGE(LISTADO!$R$3:$R$202,98),LISTADO!$R$3:$R$202,0)),"")</f>
      </c>
    </row>
    <row r="124" ht="18" customHeight="1" spans="1:6" x14ac:dyDescent="0.25">
      <c r="A124" s="11">
        <v>99</v>
      </c>
      <c r="B124" s="29">
        <f>IFERROR(INDEX(LISTADO!$D$3:$D$202,MATCH(LARGE(LISTADO!$R$3:$R$202,99),LISTADO!$R$3:$R$202,0)),"")</f>
      </c>
      <c r="C124" s="29">
        <f>IFERROR(INDEX(LISTADO!$E$3:$E$202,MATCH(LARGE(LISTADO!$R$3:$R$202,99),LISTADO!$R$3:$R$202,0)),"")</f>
      </c>
      <c r="D124" s="29">
        <f>IFERROR(INDEX(LISTADO!$F$3:$F$202,MATCH(LARGE(LISTADO!$R$3:$R$202,99),LISTADO!$R$3:$R$202,0)),"")</f>
      </c>
      <c r="E124" s="10">
        <f>IFERROR(LARGE(LISTADO!$R$3:$R$202,99),"")</f>
      </c>
      <c r="F124" s="11">
        <f>IFERROR(INDEX(LISTADO!$S$3:$S$202,MATCH(LARGE(LISTADO!$R$3:$R$202,99),LISTADO!$R$3:$R$202,0)),"")</f>
      </c>
    </row>
    <row r="125" ht="18" customHeight="1" spans="1:6" x14ac:dyDescent="0.25">
      <c r="A125" s="18">
        <v>100</v>
      </c>
      <c r="B125" s="30">
        <f>IFERROR(INDEX(LISTADO!$D$3:$D$202,MATCH(LARGE(LISTADO!$R$3:$R$202,100),LISTADO!$R$3:$R$202,0)),"")</f>
      </c>
      <c r="C125" s="30">
        <f>IFERROR(INDEX(LISTADO!$E$3:$E$202,MATCH(LARGE(LISTADO!$R$3:$R$202,100),LISTADO!$R$3:$R$202,0)),"")</f>
      </c>
      <c r="D125" s="30">
        <f>IFERROR(INDEX(LISTADO!$F$3:$F$202,MATCH(LARGE(LISTADO!$R$3:$R$202,100),LISTADO!$R$3:$R$202,0)),"")</f>
      </c>
      <c r="E125" s="17">
        <f>IFERROR(LARGE(LISTADO!$R$3:$R$202,100),"")</f>
      </c>
      <c r="F125" s="18">
        <f>IFERROR(INDEX(LISTADO!$S$3:$S$202,MATCH(LARGE(LISTADO!$R$3:$R$202,100),LISTADO!$R$3:$R$202,0)),"")</f>
      </c>
    </row>
    <row r="126" ht="18" customHeight="1" spans="1:6" x14ac:dyDescent="0.25">
      <c r="A126" s="11">
        <v>101</v>
      </c>
      <c r="B126" s="29">
        <f>IFERROR(INDEX(LISTADO!$D$3:$D$202,MATCH(LARGE(LISTADO!$R$3:$R$202,101),LISTADO!$R$3:$R$202,0)),"")</f>
      </c>
      <c r="C126" s="29">
        <f>IFERROR(INDEX(LISTADO!$E$3:$E$202,MATCH(LARGE(LISTADO!$R$3:$R$202,101),LISTADO!$R$3:$R$202,0)),"")</f>
      </c>
      <c r="D126" s="29">
        <f>IFERROR(INDEX(LISTADO!$F$3:$F$202,MATCH(LARGE(LISTADO!$R$3:$R$202,101),LISTADO!$R$3:$R$202,0)),"")</f>
      </c>
      <c r="E126" s="10">
        <f>IFERROR(LARGE(LISTADO!$R$3:$R$202,101),"")</f>
      </c>
      <c r="F126" s="11">
        <f>IFERROR(INDEX(LISTADO!$S$3:$S$202,MATCH(LARGE(LISTADO!$R$3:$R$202,101),LISTADO!$R$3:$R$202,0)),"")</f>
      </c>
    </row>
    <row r="127" ht="18" customHeight="1" spans="1:6" x14ac:dyDescent="0.25">
      <c r="A127" s="18">
        <v>102</v>
      </c>
      <c r="B127" s="30">
        <f>IFERROR(INDEX(LISTADO!$D$3:$D$202,MATCH(LARGE(LISTADO!$R$3:$R$202,102),LISTADO!$R$3:$R$202,0)),"")</f>
      </c>
      <c r="C127" s="30">
        <f>IFERROR(INDEX(LISTADO!$E$3:$E$202,MATCH(LARGE(LISTADO!$R$3:$R$202,102),LISTADO!$R$3:$R$202,0)),"")</f>
      </c>
      <c r="D127" s="30">
        <f>IFERROR(INDEX(LISTADO!$F$3:$F$202,MATCH(LARGE(LISTADO!$R$3:$R$202,102),LISTADO!$R$3:$R$202,0)),"")</f>
      </c>
      <c r="E127" s="17">
        <f>IFERROR(LARGE(LISTADO!$R$3:$R$202,102),"")</f>
      </c>
      <c r="F127" s="18">
        <f>IFERROR(INDEX(LISTADO!$S$3:$S$202,MATCH(LARGE(LISTADO!$R$3:$R$202,102),LISTADO!$R$3:$R$202,0)),"")</f>
      </c>
    </row>
    <row r="128" ht="18" customHeight="1" spans="1:6" x14ac:dyDescent="0.25">
      <c r="A128" s="11">
        <v>103</v>
      </c>
      <c r="B128" s="29">
        <f>IFERROR(INDEX(LISTADO!$D$3:$D$202,MATCH(LARGE(LISTADO!$R$3:$R$202,103),LISTADO!$R$3:$R$202,0)),"")</f>
      </c>
      <c r="C128" s="29">
        <f>IFERROR(INDEX(LISTADO!$E$3:$E$202,MATCH(LARGE(LISTADO!$R$3:$R$202,103),LISTADO!$R$3:$R$202,0)),"")</f>
      </c>
      <c r="D128" s="29">
        <f>IFERROR(INDEX(LISTADO!$F$3:$F$202,MATCH(LARGE(LISTADO!$R$3:$R$202,103),LISTADO!$R$3:$R$202,0)),"")</f>
      </c>
      <c r="E128" s="10">
        <f>IFERROR(LARGE(LISTADO!$R$3:$R$202,103),"")</f>
      </c>
      <c r="F128" s="11">
        <f>IFERROR(INDEX(LISTADO!$S$3:$S$202,MATCH(LARGE(LISTADO!$R$3:$R$202,103),LISTADO!$R$3:$R$202,0)),"")</f>
      </c>
    </row>
    <row r="129" ht="18" customHeight="1" spans="1:6" x14ac:dyDescent="0.25">
      <c r="A129" s="18">
        <v>104</v>
      </c>
      <c r="B129" s="30">
        <f>IFERROR(INDEX(LISTADO!$D$3:$D$202,MATCH(LARGE(LISTADO!$R$3:$R$202,104),LISTADO!$R$3:$R$202,0)),"")</f>
      </c>
      <c r="C129" s="30">
        <f>IFERROR(INDEX(LISTADO!$E$3:$E$202,MATCH(LARGE(LISTADO!$R$3:$R$202,104),LISTADO!$R$3:$R$202,0)),"")</f>
      </c>
      <c r="D129" s="30">
        <f>IFERROR(INDEX(LISTADO!$F$3:$F$202,MATCH(LARGE(LISTADO!$R$3:$R$202,104),LISTADO!$R$3:$R$202,0)),"")</f>
      </c>
      <c r="E129" s="17">
        <f>IFERROR(LARGE(LISTADO!$R$3:$R$202,104),"")</f>
      </c>
      <c r="F129" s="18">
        <f>IFERROR(INDEX(LISTADO!$S$3:$S$202,MATCH(LARGE(LISTADO!$R$3:$R$202,104),LISTADO!$R$3:$R$202,0)),"")</f>
      </c>
    </row>
    <row r="130" ht="18" customHeight="1" spans="1:6" x14ac:dyDescent="0.25">
      <c r="A130" s="11">
        <v>105</v>
      </c>
      <c r="B130" s="29">
        <f>IFERROR(INDEX(LISTADO!$D$3:$D$202,MATCH(LARGE(LISTADO!$R$3:$R$202,105),LISTADO!$R$3:$R$202,0)),"")</f>
      </c>
      <c r="C130" s="29">
        <f>IFERROR(INDEX(LISTADO!$E$3:$E$202,MATCH(LARGE(LISTADO!$R$3:$R$202,105),LISTADO!$R$3:$R$202,0)),"")</f>
      </c>
      <c r="D130" s="29">
        <f>IFERROR(INDEX(LISTADO!$F$3:$F$202,MATCH(LARGE(LISTADO!$R$3:$R$202,105),LISTADO!$R$3:$R$202,0)),"")</f>
      </c>
      <c r="E130" s="10">
        <f>IFERROR(LARGE(LISTADO!$R$3:$R$202,105),"")</f>
      </c>
      <c r="F130" s="11">
        <f>IFERROR(INDEX(LISTADO!$S$3:$S$202,MATCH(LARGE(LISTADO!$R$3:$R$202,105),LISTADO!$R$3:$R$202,0)),"")</f>
      </c>
    </row>
    <row r="131" ht="18" customHeight="1" spans="1:6" x14ac:dyDescent="0.25">
      <c r="A131" s="18">
        <v>106</v>
      </c>
      <c r="B131" s="30">
        <f>IFERROR(INDEX(LISTADO!$D$3:$D$202,MATCH(LARGE(LISTADO!$R$3:$R$202,106),LISTADO!$R$3:$R$202,0)),"")</f>
      </c>
      <c r="C131" s="30">
        <f>IFERROR(INDEX(LISTADO!$E$3:$E$202,MATCH(LARGE(LISTADO!$R$3:$R$202,106),LISTADO!$R$3:$R$202,0)),"")</f>
      </c>
      <c r="D131" s="30">
        <f>IFERROR(INDEX(LISTADO!$F$3:$F$202,MATCH(LARGE(LISTADO!$R$3:$R$202,106),LISTADO!$R$3:$R$202,0)),"")</f>
      </c>
      <c r="E131" s="17">
        <f>IFERROR(LARGE(LISTADO!$R$3:$R$202,106),"")</f>
      </c>
      <c r="F131" s="18">
        <f>IFERROR(INDEX(LISTADO!$S$3:$S$202,MATCH(LARGE(LISTADO!$R$3:$R$202,106),LISTADO!$R$3:$R$202,0)),"")</f>
      </c>
    </row>
    <row r="132" ht="18" customHeight="1" spans="1:6" x14ac:dyDescent="0.25">
      <c r="A132" s="11">
        <v>107</v>
      </c>
      <c r="B132" s="29">
        <f>IFERROR(INDEX(LISTADO!$D$3:$D$202,MATCH(LARGE(LISTADO!$R$3:$R$202,107),LISTADO!$R$3:$R$202,0)),"")</f>
      </c>
      <c r="C132" s="29">
        <f>IFERROR(INDEX(LISTADO!$E$3:$E$202,MATCH(LARGE(LISTADO!$R$3:$R$202,107),LISTADO!$R$3:$R$202,0)),"")</f>
      </c>
      <c r="D132" s="29">
        <f>IFERROR(INDEX(LISTADO!$F$3:$F$202,MATCH(LARGE(LISTADO!$R$3:$R$202,107),LISTADO!$R$3:$R$202,0)),"")</f>
      </c>
      <c r="E132" s="10">
        <f>IFERROR(LARGE(LISTADO!$R$3:$R$202,107),"")</f>
      </c>
      <c r="F132" s="11">
        <f>IFERROR(INDEX(LISTADO!$S$3:$S$202,MATCH(LARGE(LISTADO!$R$3:$R$202,107),LISTADO!$R$3:$R$202,0)),"")</f>
      </c>
    </row>
    <row r="133" ht="18" customHeight="1" spans="1:6" x14ac:dyDescent="0.25">
      <c r="A133" s="18">
        <v>108</v>
      </c>
      <c r="B133" s="30">
        <f>IFERROR(INDEX(LISTADO!$D$3:$D$202,MATCH(LARGE(LISTADO!$R$3:$R$202,108),LISTADO!$R$3:$R$202,0)),"")</f>
      </c>
      <c r="C133" s="30">
        <f>IFERROR(INDEX(LISTADO!$E$3:$E$202,MATCH(LARGE(LISTADO!$R$3:$R$202,108),LISTADO!$R$3:$R$202,0)),"")</f>
      </c>
      <c r="D133" s="30">
        <f>IFERROR(INDEX(LISTADO!$F$3:$F$202,MATCH(LARGE(LISTADO!$R$3:$R$202,108),LISTADO!$R$3:$R$202,0)),"")</f>
      </c>
      <c r="E133" s="17">
        <f>IFERROR(LARGE(LISTADO!$R$3:$R$202,108),"")</f>
      </c>
      <c r="F133" s="18">
        <f>IFERROR(INDEX(LISTADO!$S$3:$S$202,MATCH(LARGE(LISTADO!$R$3:$R$202,108),LISTADO!$R$3:$R$202,0)),"")</f>
      </c>
    </row>
    <row r="134" ht="18" customHeight="1" spans="1:6" x14ac:dyDescent="0.25">
      <c r="A134" s="11">
        <v>109</v>
      </c>
      <c r="B134" s="29">
        <f>IFERROR(INDEX(LISTADO!$D$3:$D$202,MATCH(LARGE(LISTADO!$R$3:$R$202,109),LISTADO!$R$3:$R$202,0)),"")</f>
      </c>
      <c r="C134" s="29">
        <f>IFERROR(INDEX(LISTADO!$E$3:$E$202,MATCH(LARGE(LISTADO!$R$3:$R$202,109),LISTADO!$R$3:$R$202,0)),"")</f>
      </c>
      <c r="D134" s="29">
        <f>IFERROR(INDEX(LISTADO!$F$3:$F$202,MATCH(LARGE(LISTADO!$R$3:$R$202,109),LISTADO!$R$3:$R$202,0)),"")</f>
      </c>
      <c r="E134" s="10">
        <f>IFERROR(LARGE(LISTADO!$R$3:$R$202,109),"")</f>
      </c>
      <c r="F134" s="11">
        <f>IFERROR(INDEX(LISTADO!$S$3:$S$202,MATCH(LARGE(LISTADO!$R$3:$R$202,109),LISTADO!$R$3:$R$202,0)),"")</f>
      </c>
    </row>
    <row r="135" ht="18" customHeight="1" spans="1:6" x14ac:dyDescent="0.25">
      <c r="A135" s="18">
        <v>110</v>
      </c>
      <c r="B135" s="30">
        <f>IFERROR(INDEX(LISTADO!$D$3:$D$202,MATCH(LARGE(LISTADO!$R$3:$R$202,110),LISTADO!$R$3:$R$202,0)),"")</f>
      </c>
      <c r="C135" s="30">
        <f>IFERROR(INDEX(LISTADO!$E$3:$E$202,MATCH(LARGE(LISTADO!$R$3:$R$202,110),LISTADO!$R$3:$R$202,0)),"")</f>
      </c>
      <c r="D135" s="30">
        <f>IFERROR(INDEX(LISTADO!$F$3:$F$202,MATCH(LARGE(LISTADO!$R$3:$R$202,110),LISTADO!$R$3:$R$202,0)),"")</f>
      </c>
      <c r="E135" s="17">
        <f>IFERROR(LARGE(LISTADO!$R$3:$R$202,110),"")</f>
      </c>
      <c r="F135" s="18">
        <f>IFERROR(INDEX(LISTADO!$S$3:$S$202,MATCH(LARGE(LISTADO!$R$3:$R$202,110),LISTADO!$R$3:$R$202,0)),"")</f>
      </c>
    </row>
    <row r="136" ht="18" customHeight="1" spans="1:6" x14ac:dyDescent="0.25">
      <c r="A136" s="11">
        <v>111</v>
      </c>
      <c r="B136" s="29">
        <f>IFERROR(INDEX(LISTADO!$D$3:$D$202,MATCH(LARGE(LISTADO!$R$3:$R$202,111),LISTADO!$R$3:$R$202,0)),"")</f>
      </c>
      <c r="C136" s="29">
        <f>IFERROR(INDEX(LISTADO!$E$3:$E$202,MATCH(LARGE(LISTADO!$R$3:$R$202,111),LISTADO!$R$3:$R$202,0)),"")</f>
      </c>
      <c r="D136" s="29">
        <f>IFERROR(INDEX(LISTADO!$F$3:$F$202,MATCH(LARGE(LISTADO!$R$3:$R$202,111),LISTADO!$R$3:$R$202,0)),"")</f>
      </c>
      <c r="E136" s="10">
        <f>IFERROR(LARGE(LISTADO!$R$3:$R$202,111),"")</f>
      </c>
      <c r="F136" s="11">
        <f>IFERROR(INDEX(LISTADO!$S$3:$S$202,MATCH(LARGE(LISTADO!$R$3:$R$202,111),LISTADO!$R$3:$R$202,0)),"")</f>
      </c>
    </row>
    <row r="137" ht="18" customHeight="1" spans="1:6" x14ac:dyDescent="0.25">
      <c r="A137" s="18">
        <v>112</v>
      </c>
      <c r="B137" s="30">
        <f>IFERROR(INDEX(LISTADO!$D$3:$D$202,MATCH(LARGE(LISTADO!$R$3:$R$202,112),LISTADO!$R$3:$R$202,0)),"")</f>
      </c>
      <c r="C137" s="30">
        <f>IFERROR(INDEX(LISTADO!$E$3:$E$202,MATCH(LARGE(LISTADO!$R$3:$R$202,112),LISTADO!$R$3:$R$202,0)),"")</f>
      </c>
      <c r="D137" s="30">
        <f>IFERROR(INDEX(LISTADO!$F$3:$F$202,MATCH(LARGE(LISTADO!$R$3:$R$202,112),LISTADO!$R$3:$R$202,0)),"")</f>
      </c>
      <c r="E137" s="17">
        <f>IFERROR(LARGE(LISTADO!$R$3:$R$202,112),"")</f>
      </c>
      <c r="F137" s="18">
        <f>IFERROR(INDEX(LISTADO!$S$3:$S$202,MATCH(LARGE(LISTADO!$R$3:$R$202,112),LISTADO!$R$3:$R$202,0)),"")</f>
      </c>
    </row>
    <row r="138" ht="18" customHeight="1" spans="1:6" x14ac:dyDescent="0.25">
      <c r="A138" s="11">
        <v>113</v>
      </c>
      <c r="B138" s="29">
        <f>IFERROR(INDEX(LISTADO!$D$3:$D$202,MATCH(LARGE(LISTADO!$R$3:$R$202,113),LISTADO!$R$3:$R$202,0)),"")</f>
      </c>
      <c r="C138" s="29">
        <f>IFERROR(INDEX(LISTADO!$E$3:$E$202,MATCH(LARGE(LISTADO!$R$3:$R$202,113),LISTADO!$R$3:$R$202,0)),"")</f>
      </c>
      <c r="D138" s="29">
        <f>IFERROR(INDEX(LISTADO!$F$3:$F$202,MATCH(LARGE(LISTADO!$R$3:$R$202,113),LISTADO!$R$3:$R$202,0)),"")</f>
      </c>
      <c r="E138" s="10">
        <f>IFERROR(LARGE(LISTADO!$R$3:$R$202,113),"")</f>
      </c>
      <c r="F138" s="11">
        <f>IFERROR(INDEX(LISTADO!$S$3:$S$202,MATCH(LARGE(LISTADO!$R$3:$R$202,113),LISTADO!$R$3:$R$202,0)),"")</f>
      </c>
    </row>
    <row r="139" ht="18" customHeight="1" spans="1:6" x14ac:dyDescent="0.25">
      <c r="A139" s="18">
        <v>114</v>
      </c>
      <c r="B139" s="30">
        <f>IFERROR(INDEX(LISTADO!$D$3:$D$202,MATCH(LARGE(LISTADO!$R$3:$R$202,114),LISTADO!$R$3:$R$202,0)),"")</f>
      </c>
      <c r="C139" s="30">
        <f>IFERROR(INDEX(LISTADO!$E$3:$E$202,MATCH(LARGE(LISTADO!$R$3:$R$202,114),LISTADO!$R$3:$R$202,0)),"")</f>
      </c>
      <c r="D139" s="30">
        <f>IFERROR(INDEX(LISTADO!$F$3:$F$202,MATCH(LARGE(LISTADO!$R$3:$R$202,114),LISTADO!$R$3:$R$202,0)),"")</f>
      </c>
      <c r="E139" s="17">
        <f>IFERROR(LARGE(LISTADO!$R$3:$R$202,114),"")</f>
      </c>
      <c r="F139" s="18">
        <f>IFERROR(INDEX(LISTADO!$S$3:$S$202,MATCH(LARGE(LISTADO!$R$3:$R$202,114),LISTADO!$R$3:$R$202,0)),"")</f>
      </c>
    </row>
    <row r="140" ht="18" customHeight="1" spans="1:6" x14ac:dyDescent="0.25">
      <c r="A140" s="11">
        <v>115</v>
      </c>
      <c r="B140" s="29">
        <f>IFERROR(INDEX(LISTADO!$D$3:$D$202,MATCH(LARGE(LISTADO!$R$3:$R$202,115),LISTADO!$R$3:$R$202,0)),"")</f>
      </c>
      <c r="C140" s="29">
        <f>IFERROR(INDEX(LISTADO!$E$3:$E$202,MATCH(LARGE(LISTADO!$R$3:$R$202,115),LISTADO!$R$3:$R$202,0)),"")</f>
      </c>
      <c r="D140" s="29">
        <f>IFERROR(INDEX(LISTADO!$F$3:$F$202,MATCH(LARGE(LISTADO!$R$3:$R$202,115),LISTADO!$R$3:$R$202,0)),"")</f>
      </c>
      <c r="E140" s="10">
        <f>IFERROR(LARGE(LISTADO!$R$3:$R$202,115),"")</f>
      </c>
      <c r="F140" s="11">
        <f>IFERROR(INDEX(LISTADO!$S$3:$S$202,MATCH(LARGE(LISTADO!$R$3:$R$202,115),LISTADO!$R$3:$R$202,0)),"")</f>
      </c>
    </row>
    <row r="141" ht="18" customHeight="1" spans="1:6" x14ac:dyDescent="0.25">
      <c r="A141" s="18">
        <v>116</v>
      </c>
      <c r="B141" s="30">
        <f>IFERROR(INDEX(LISTADO!$D$3:$D$202,MATCH(LARGE(LISTADO!$R$3:$R$202,116),LISTADO!$R$3:$R$202,0)),"")</f>
      </c>
      <c r="C141" s="30">
        <f>IFERROR(INDEX(LISTADO!$E$3:$E$202,MATCH(LARGE(LISTADO!$R$3:$R$202,116),LISTADO!$R$3:$R$202,0)),"")</f>
      </c>
      <c r="D141" s="30">
        <f>IFERROR(INDEX(LISTADO!$F$3:$F$202,MATCH(LARGE(LISTADO!$R$3:$R$202,116),LISTADO!$R$3:$R$202,0)),"")</f>
      </c>
      <c r="E141" s="17">
        <f>IFERROR(LARGE(LISTADO!$R$3:$R$202,116),"")</f>
      </c>
      <c r="F141" s="18">
        <f>IFERROR(INDEX(LISTADO!$S$3:$S$202,MATCH(LARGE(LISTADO!$R$3:$R$202,116),LISTADO!$R$3:$R$202,0)),"")</f>
      </c>
    </row>
    <row r="142" ht="18" customHeight="1" spans="1:6" x14ac:dyDescent="0.25">
      <c r="A142" s="11">
        <v>117</v>
      </c>
      <c r="B142" s="29">
        <f>IFERROR(INDEX(LISTADO!$D$3:$D$202,MATCH(LARGE(LISTADO!$R$3:$R$202,117),LISTADO!$R$3:$R$202,0)),"")</f>
      </c>
      <c r="C142" s="29">
        <f>IFERROR(INDEX(LISTADO!$E$3:$E$202,MATCH(LARGE(LISTADO!$R$3:$R$202,117),LISTADO!$R$3:$R$202,0)),"")</f>
      </c>
      <c r="D142" s="29">
        <f>IFERROR(INDEX(LISTADO!$F$3:$F$202,MATCH(LARGE(LISTADO!$R$3:$R$202,117),LISTADO!$R$3:$R$202,0)),"")</f>
      </c>
      <c r="E142" s="10">
        <f>IFERROR(LARGE(LISTADO!$R$3:$R$202,117),"")</f>
      </c>
      <c r="F142" s="11">
        <f>IFERROR(INDEX(LISTADO!$S$3:$S$202,MATCH(LARGE(LISTADO!$R$3:$R$202,117),LISTADO!$R$3:$R$202,0)),"")</f>
      </c>
    </row>
    <row r="143" ht="18" customHeight="1" spans="1:6" x14ac:dyDescent="0.25">
      <c r="A143" s="18">
        <v>118</v>
      </c>
      <c r="B143" s="30">
        <f>IFERROR(INDEX(LISTADO!$D$3:$D$202,MATCH(LARGE(LISTADO!$R$3:$R$202,118),LISTADO!$R$3:$R$202,0)),"")</f>
      </c>
      <c r="C143" s="30">
        <f>IFERROR(INDEX(LISTADO!$E$3:$E$202,MATCH(LARGE(LISTADO!$R$3:$R$202,118),LISTADO!$R$3:$R$202,0)),"")</f>
      </c>
      <c r="D143" s="30">
        <f>IFERROR(INDEX(LISTADO!$F$3:$F$202,MATCH(LARGE(LISTADO!$R$3:$R$202,118),LISTADO!$R$3:$R$202,0)),"")</f>
      </c>
      <c r="E143" s="17">
        <f>IFERROR(LARGE(LISTADO!$R$3:$R$202,118),"")</f>
      </c>
      <c r="F143" s="18">
        <f>IFERROR(INDEX(LISTADO!$S$3:$S$202,MATCH(LARGE(LISTADO!$R$3:$R$202,118),LISTADO!$R$3:$R$202,0)),"")</f>
      </c>
    </row>
    <row r="144" ht="18" customHeight="1" spans="1:6" x14ac:dyDescent="0.25">
      <c r="A144" s="11">
        <v>119</v>
      </c>
      <c r="B144" s="29">
        <f>IFERROR(INDEX(LISTADO!$D$3:$D$202,MATCH(LARGE(LISTADO!$R$3:$R$202,119),LISTADO!$R$3:$R$202,0)),"")</f>
      </c>
      <c r="C144" s="29">
        <f>IFERROR(INDEX(LISTADO!$E$3:$E$202,MATCH(LARGE(LISTADO!$R$3:$R$202,119),LISTADO!$R$3:$R$202,0)),"")</f>
      </c>
      <c r="D144" s="29">
        <f>IFERROR(INDEX(LISTADO!$F$3:$F$202,MATCH(LARGE(LISTADO!$R$3:$R$202,119),LISTADO!$R$3:$R$202,0)),"")</f>
      </c>
      <c r="E144" s="10">
        <f>IFERROR(LARGE(LISTADO!$R$3:$R$202,119),"")</f>
      </c>
      <c r="F144" s="11">
        <f>IFERROR(INDEX(LISTADO!$S$3:$S$202,MATCH(LARGE(LISTADO!$R$3:$R$202,119),LISTADO!$R$3:$R$202,0)),"")</f>
      </c>
    </row>
    <row r="145" ht="18" customHeight="1" spans="1:6" x14ac:dyDescent="0.25">
      <c r="A145" s="18">
        <v>120</v>
      </c>
      <c r="B145" s="30">
        <f>IFERROR(INDEX(LISTADO!$D$3:$D$202,MATCH(LARGE(LISTADO!$R$3:$R$202,120),LISTADO!$R$3:$R$202,0)),"")</f>
      </c>
      <c r="C145" s="30">
        <f>IFERROR(INDEX(LISTADO!$E$3:$E$202,MATCH(LARGE(LISTADO!$R$3:$R$202,120),LISTADO!$R$3:$R$202,0)),"")</f>
      </c>
      <c r="D145" s="30">
        <f>IFERROR(INDEX(LISTADO!$F$3:$F$202,MATCH(LARGE(LISTADO!$R$3:$R$202,120),LISTADO!$R$3:$R$202,0)),"")</f>
      </c>
      <c r="E145" s="17">
        <f>IFERROR(LARGE(LISTADO!$R$3:$R$202,120),"")</f>
      </c>
      <c r="F145" s="18">
        <f>IFERROR(INDEX(LISTADO!$S$3:$S$202,MATCH(LARGE(LISTADO!$R$3:$R$202,120),LISTADO!$R$3:$R$202,0)),"")</f>
      </c>
    </row>
    <row r="146" ht="18" customHeight="1" spans="1:6" x14ac:dyDescent="0.25">
      <c r="A146" s="11">
        <v>121</v>
      </c>
      <c r="B146" s="29">
        <f>IFERROR(INDEX(LISTADO!$D$3:$D$202,MATCH(LARGE(LISTADO!$R$3:$R$202,121),LISTADO!$R$3:$R$202,0)),"")</f>
      </c>
      <c r="C146" s="29">
        <f>IFERROR(INDEX(LISTADO!$E$3:$E$202,MATCH(LARGE(LISTADO!$R$3:$R$202,121),LISTADO!$R$3:$R$202,0)),"")</f>
      </c>
      <c r="D146" s="29">
        <f>IFERROR(INDEX(LISTADO!$F$3:$F$202,MATCH(LARGE(LISTADO!$R$3:$R$202,121),LISTADO!$R$3:$R$202,0)),"")</f>
      </c>
      <c r="E146" s="10">
        <f>IFERROR(LARGE(LISTADO!$R$3:$R$202,121),"")</f>
      </c>
      <c r="F146" s="11">
        <f>IFERROR(INDEX(LISTADO!$S$3:$S$202,MATCH(LARGE(LISTADO!$R$3:$R$202,121),LISTADO!$R$3:$R$202,0)),"")</f>
      </c>
    </row>
    <row r="147" ht="18" customHeight="1" spans="1:6" x14ac:dyDescent="0.25">
      <c r="A147" s="18">
        <v>122</v>
      </c>
      <c r="B147" s="30">
        <f>IFERROR(INDEX(LISTADO!$D$3:$D$202,MATCH(LARGE(LISTADO!$R$3:$R$202,122),LISTADO!$R$3:$R$202,0)),"")</f>
      </c>
      <c r="C147" s="30">
        <f>IFERROR(INDEX(LISTADO!$E$3:$E$202,MATCH(LARGE(LISTADO!$R$3:$R$202,122),LISTADO!$R$3:$R$202,0)),"")</f>
      </c>
      <c r="D147" s="30">
        <f>IFERROR(INDEX(LISTADO!$F$3:$F$202,MATCH(LARGE(LISTADO!$R$3:$R$202,122),LISTADO!$R$3:$R$202,0)),"")</f>
      </c>
      <c r="E147" s="17">
        <f>IFERROR(LARGE(LISTADO!$R$3:$R$202,122),"")</f>
      </c>
      <c r="F147" s="18">
        <f>IFERROR(INDEX(LISTADO!$S$3:$S$202,MATCH(LARGE(LISTADO!$R$3:$R$202,122),LISTADO!$R$3:$R$202,0)),"")</f>
      </c>
    </row>
    <row r="148" ht="18" customHeight="1" spans="1:6" x14ac:dyDescent="0.25">
      <c r="A148" s="11">
        <v>123</v>
      </c>
      <c r="B148" s="29">
        <f>IFERROR(INDEX(LISTADO!$D$3:$D$202,MATCH(LARGE(LISTADO!$R$3:$R$202,123),LISTADO!$R$3:$R$202,0)),"")</f>
      </c>
      <c r="C148" s="29">
        <f>IFERROR(INDEX(LISTADO!$E$3:$E$202,MATCH(LARGE(LISTADO!$R$3:$R$202,123),LISTADO!$R$3:$R$202,0)),"")</f>
      </c>
      <c r="D148" s="29">
        <f>IFERROR(INDEX(LISTADO!$F$3:$F$202,MATCH(LARGE(LISTADO!$R$3:$R$202,123),LISTADO!$R$3:$R$202,0)),"")</f>
      </c>
      <c r="E148" s="10">
        <f>IFERROR(LARGE(LISTADO!$R$3:$R$202,123),"")</f>
      </c>
      <c r="F148" s="11">
        <f>IFERROR(INDEX(LISTADO!$S$3:$S$202,MATCH(LARGE(LISTADO!$R$3:$R$202,123),LISTADO!$R$3:$R$202,0)),"")</f>
      </c>
    </row>
    <row r="149" ht="18" customHeight="1" spans="1:6" x14ac:dyDescent="0.25">
      <c r="A149" s="18">
        <v>124</v>
      </c>
      <c r="B149" s="30">
        <f>IFERROR(INDEX(LISTADO!$D$3:$D$202,MATCH(LARGE(LISTADO!$R$3:$R$202,124),LISTADO!$R$3:$R$202,0)),"")</f>
      </c>
      <c r="C149" s="30">
        <f>IFERROR(INDEX(LISTADO!$E$3:$E$202,MATCH(LARGE(LISTADO!$R$3:$R$202,124),LISTADO!$R$3:$R$202,0)),"")</f>
      </c>
      <c r="D149" s="30">
        <f>IFERROR(INDEX(LISTADO!$F$3:$F$202,MATCH(LARGE(LISTADO!$R$3:$R$202,124),LISTADO!$R$3:$R$202,0)),"")</f>
      </c>
      <c r="E149" s="17">
        <f>IFERROR(LARGE(LISTADO!$R$3:$R$202,124),"")</f>
      </c>
      <c r="F149" s="18">
        <f>IFERROR(INDEX(LISTADO!$S$3:$S$202,MATCH(LARGE(LISTADO!$R$3:$R$202,124),LISTADO!$R$3:$R$202,0)),"")</f>
      </c>
    </row>
    <row r="150" ht="18" customHeight="1" spans="1:6" x14ac:dyDescent="0.25">
      <c r="A150" s="11">
        <v>125</v>
      </c>
      <c r="B150" s="29">
        <f>IFERROR(INDEX(LISTADO!$D$3:$D$202,MATCH(LARGE(LISTADO!$R$3:$R$202,125),LISTADO!$R$3:$R$202,0)),"")</f>
      </c>
      <c r="C150" s="29">
        <f>IFERROR(INDEX(LISTADO!$E$3:$E$202,MATCH(LARGE(LISTADO!$R$3:$R$202,125),LISTADO!$R$3:$R$202,0)),"")</f>
      </c>
      <c r="D150" s="29">
        <f>IFERROR(INDEX(LISTADO!$F$3:$F$202,MATCH(LARGE(LISTADO!$R$3:$R$202,125),LISTADO!$R$3:$R$202,0)),"")</f>
      </c>
      <c r="E150" s="10">
        <f>IFERROR(LARGE(LISTADO!$R$3:$R$202,125),"")</f>
      </c>
      <c r="F150" s="11">
        <f>IFERROR(INDEX(LISTADO!$S$3:$S$202,MATCH(LARGE(LISTADO!$R$3:$R$202,125),LISTADO!$R$3:$R$202,0)),"")</f>
      </c>
    </row>
    <row r="151" ht="18" customHeight="1" spans="1:6" x14ac:dyDescent="0.25">
      <c r="A151" s="18">
        <v>126</v>
      </c>
      <c r="B151" s="30">
        <f>IFERROR(INDEX(LISTADO!$D$3:$D$202,MATCH(LARGE(LISTADO!$R$3:$R$202,126),LISTADO!$R$3:$R$202,0)),"")</f>
      </c>
      <c r="C151" s="30">
        <f>IFERROR(INDEX(LISTADO!$E$3:$E$202,MATCH(LARGE(LISTADO!$R$3:$R$202,126),LISTADO!$R$3:$R$202,0)),"")</f>
      </c>
      <c r="D151" s="30">
        <f>IFERROR(INDEX(LISTADO!$F$3:$F$202,MATCH(LARGE(LISTADO!$R$3:$R$202,126),LISTADO!$R$3:$R$202,0)),"")</f>
      </c>
      <c r="E151" s="17">
        <f>IFERROR(LARGE(LISTADO!$R$3:$R$202,126),"")</f>
      </c>
      <c r="F151" s="18">
        <f>IFERROR(INDEX(LISTADO!$S$3:$S$202,MATCH(LARGE(LISTADO!$R$3:$R$202,126),LISTADO!$R$3:$R$202,0)),"")</f>
      </c>
    </row>
    <row r="152" ht="18" customHeight="1" spans="1:6" x14ac:dyDescent="0.25">
      <c r="A152" s="11">
        <v>127</v>
      </c>
      <c r="B152" s="29">
        <f>IFERROR(INDEX(LISTADO!$D$3:$D$202,MATCH(LARGE(LISTADO!$R$3:$R$202,127),LISTADO!$R$3:$R$202,0)),"")</f>
      </c>
      <c r="C152" s="29">
        <f>IFERROR(INDEX(LISTADO!$E$3:$E$202,MATCH(LARGE(LISTADO!$R$3:$R$202,127),LISTADO!$R$3:$R$202,0)),"")</f>
      </c>
      <c r="D152" s="29">
        <f>IFERROR(INDEX(LISTADO!$F$3:$F$202,MATCH(LARGE(LISTADO!$R$3:$R$202,127),LISTADO!$R$3:$R$202,0)),"")</f>
      </c>
      <c r="E152" s="10">
        <f>IFERROR(LARGE(LISTADO!$R$3:$R$202,127),"")</f>
      </c>
      <c r="F152" s="11">
        <f>IFERROR(INDEX(LISTADO!$S$3:$S$202,MATCH(LARGE(LISTADO!$R$3:$R$202,127),LISTADO!$R$3:$R$202,0)),"")</f>
      </c>
    </row>
    <row r="153" ht="18" customHeight="1" spans="1:6" x14ac:dyDescent="0.25">
      <c r="A153" s="18">
        <v>128</v>
      </c>
      <c r="B153" s="30">
        <f>IFERROR(INDEX(LISTADO!$D$3:$D$202,MATCH(LARGE(LISTADO!$R$3:$R$202,128),LISTADO!$R$3:$R$202,0)),"")</f>
      </c>
      <c r="C153" s="30">
        <f>IFERROR(INDEX(LISTADO!$E$3:$E$202,MATCH(LARGE(LISTADO!$R$3:$R$202,128),LISTADO!$R$3:$R$202,0)),"")</f>
      </c>
      <c r="D153" s="30">
        <f>IFERROR(INDEX(LISTADO!$F$3:$F$202,MATCH(LARGE(LISTADO!$R$3:$R$202,128),LISTADO!$R$3:$R$202,0)),"")</f>
      </c>
      <c r="E153" s="17">
        <f>IFERROR(LARGE(LISTADO!$R$3:$R$202,128),"")</f>
      </c>
      <c r="F153" s="18">
        <f>IFERROR(INDEX(LISTADO!$S$3:$S$202,MATCH(LARGE(LISTADO!$R$3:$R$202,128),LISTADO!$R$3:$R$202,0)),"")</f>
      </c>
    </row>
    <row r="154" ht="18" customHeight="1" spans="1:6" x14ac:dyDescent="0.25">
      <c r="A154" s="11">
        <v>129</v>
      </c>
      <c r="B154" s="29">
        <f>IFERROR(INDEX(LISTADO!$D$3:$D$202,MATCH(LARGE(LISTADO!$R$3:$R$202,129),LISTADO!$R$3:$R$202,0)),"")</f>
      </c>
      <c r="C154" s="29">
        <f>IFERROR(INDEX(LISTADO!$E$3:$E$202,MATCH(LARGE(LISTADO!$R$3:$R$202,129),LISTADO!$R$3:$R$202,0)),"")</f>
      </c>
      <c r="D154" s="29">
        <f>IFERROR(INDEX(LISTADO!$F$3:$F$202,MATCH(LARGE(LISTADO!$R$3:$R$202,129),LISTADO!$R$3:$R$202,0)),"")</f>
      </c>
      <c r="E154" s="10">
        <f>IFERROR(LARGE(LISTADO!$R$3:$R$202,129),"")</f>
      </c>
      <c r="F154" s="11">
        <f>IFERROR(INDEX(LISTADO!$S$3:$S$202,MATCH(LARGE(LISTADO!$R$3:$R$202,129),LISTADO!$R$3:$R$202,0)),"")</f>
      </c>
    </row>
    <row r="155" ht="18" customHeight="1" spans="1:6" x14ac:dyDescent="0.25">
      <c r="A155" s="18">
        <v>130</v>
      </c>
      <c r="B155" s="30">
        <f>IFERROR(INDEX(LISTADO!$D$3:$D$202,MATCH(LARGE(LISTADO!$R$3:$R$202,130),LISTADO!$R$3:$R$202,0)),"")</f>
      </c>
      <c r="C155" s="30">
        <f>IFERROR(INDEX(LISTADO!$E$3:$E$202,MATCH(LARGE(LISTADO!$R$3:$R$202,130),LISTADO!$R$3:$R$202,0)),"")</f>
      </c>
      <c r="D155" s="30">
        <f>IFERROR(INDEX(LISTADO!$F$3:$F$202,MATCH(LARGE(LISTADO!$R$3:$R$202,130),LISTADO!$R$3:$R$202,0)),"")</f>
      </c>
      <c r="E155" s="17">
        <f>IFERROR(LARGE(LISTADO!$R$3:$R$202,130),"")</f>
      </c>
      <c r="F155" s="18">
        <f>IFERROR(INDEX(LISTADO!$S$3:$S$202,MATCH(LARGE(LISTADO!$R$3:$R$202,130),LISTADO!$R$3:$R$202,0)),"")</f>
      </c>
    </row>
    <row r="156" ht="18" customHeight="1" spans="1:6" x14ac:dyDescent="0.25">
      <c r="A156" s="11">
        <v>131</v>
      </c>
      <c r="B156" s="29">
        <f>IFERROR(INDEX(LISTADO!$D$3:$D$202,MATCH(LARGE(LISTADO!$R$3:$R$202,131),LISTADO!$R$3:$R$202,0)),"")</f>
      </c>
      <c r="C156" s="29">
        <f>IFERROR(INDEX(LISTADO!$E$3:$E$202,MATCH(LARGE(LISTADO!$R$3:$R$202,131),LISTADO!$R$3:$R$202,0)),"")</f>
      </c>
      <c r="D156" s="29">
        <f>IFERROR(INDEX(LISTADO!$F$3:$F$202,MATCH(LARGE(LISTADO!$R$3:$R$202,131),LISTADO!$R$3:$R$202,0)),"")</f>
      </c>
      <c r="E156" s="10">
        <f>IFERROR(LARGE(LISTADO!$R$3:$R$202,131),"")</f>
      </c>
      <c r="F156" s="11">
        <f>IFERROR(INDEX(LISTADO!$S$3:$S$202,MATCH(LARGE(LISTADO!$R$3:$R$202,131),LISTADO!$R$3:$R$202,0)),"")</f>
      </c>
    </row>
    <row r="157" ht="18" customHeight="1" spans="1:6" x14ac:dyDescent="0.25">
      <c r="A157" s="18">
        <v>132</v>
      </c>
      <c r="B157" s="30">
        <f>IFERROR(INDEX(LISTADO!$D$3:$D$202,MATCH(LARGE(LISTADO!$R$3:$R$202,132),LISTADO!$R$3:$R$202,0)),"")</f>
      </c>
      <c r="C157" s="30">
        <f>IFERROR(INDEX(LISTADO!$E$3:$E$202,MATCH(LARGE(LISTADO!$R$3:$R$202,132),LISTADO!$R$3:$R$202,0)),"")</f>
      </c>
      <c r="D157" s="30">
        <f>IFERROR(INDEX(LISTADO!$F$3:$F$202,MATCH(LARGE(LISTADO!$R$3:$R$202,132),LISTADO!$R$3:$R$202,0)),"")</f>
      </c>
      <c r="E157" s="17">
        <f>IFERROR(LARGE(LISTADO!$R$3:$R$202,132),"")</f>
      </c>
      <c r="F157" s="18">
        <f>IFERROR(INDEX(LISTADO!$S$3:$S$202,MATCH(LARGE(LISTADO!$R$3:$R$202,132),LISTADO!$R$3:$R$202,0)),"")</f>
      </c>
    </row>
    <row r="158" ht="18" customHeight="1" spans="1:6" x14ac:dyDescent="0.25">
      <c r="A158" s="11">
        <v>133</v>
      </c>
      <c r="B158" s="29">
        <f>IFERROR(INDEX(LISTADO!$D$3:$D$202,MATCH(LARGE(LISTADO!$R$3:$R$202,133),LISTADO!$R$3:$R$202,0)),"")</f>
      </c>
      <c r="C158" s="29">
        <f>IFERROR(INDEX(LISTADO!$E$3:$E$202,MATCH(LARGE(LISTADO!$R$3:$R$202,133),LISTADO!$R$3:$R$202,0)),"")</f>
      </c>
      <c r="D158" s="29">
        <f>IFERROR(INDEX(LISTADO!$F$3:$F$202,MATCH(LARGE(LISTADO!$R$3:$R$202,133),LISTADO!$R$3:$R$202,0)),"")</f>
      </c>
      <c r="E158" s="10">
        <f>IFERROR(LARGE(LISTADO!$R$3:$R$202,133),"")</f>
      </c>
      <c r="F158" s="11">
        <f>IFERROR(INDEX(LISTADO!$S$3:$S$202,MATCH(LARGE(LISTADO!$R$3:$R$202,133),LISTADO!$R$3:$R$202,0)),"")</f>
      </c>
    </row>
    <row r="159" ht="18" customHeight="1" spans="1:6" x14ac:dyDescent="0.25">
      <c r="A159" s="18">
        <v>134</v>
      </c>
      <c r="B159" s="30">
        <f>IFERROR(INDEX(LISTADO!$D$3:$D$202,MATCH(LARGE(LISTADO!$R$3:$R$202,134),LISTADO!$R$3:$R$202,0)),"")</f>
      </c>
      <c r="C159" s="30">
        <f>IFERROR(INDEX(LISTADO!$E$3:$E$202,MATCH(LARGE(LISTADO!$R$3:$R$202,134),LISTADO!$R$3:$R$202,0)),"")</f>
      </c>
      <c r="D159" s="30">
        <f>IFERROR(INDEX(LISTADO!$F$3:$F$202,MATCH(LARGE(LISTADO!$R$3:$R$202,134),LISTADO!$R$3:$R$202,0)),"")</f>
      </c>
      <c r="E159" s="17">
        <f>IFERROR(LARGE(LISTADO!$R$3:$R$202,134),"")</f>
      </c>
      <c r="F159" s="18">
        <f>IFERROR(INDEX(LISTADO!$S$3:$S$202,MATCH(LARGE(LISTADO!$R$3:$R$202,134),LISTADO!$R$3:$R$202,0)),"")</f>
      </c>
    </row>
    <row r="160" ht="18" customHeight="1" spans="1:6" x14ac:dyDescent="0.25">
      <c r="A160" s="11">
        <v>135</v>
      </c>
      <c r="B160" s="29">
        <f>IFERROR(INDEX(LISTADO!$D$3:$D$202,MATCH(LARGE(LISTADO!$R$3:$R$202,135),LISTADO!$R$3:$R$202,0)),"")</f>
      </c>
      <c r="C160" s="29">
        <f>IFERROR(INDEX(LISTADO!$E$3:$E$202,MATCH(LARGE(LISTADO!$R$3:$R$202,135),LISTADO!$R$3:$R$202,0)),"")</f>
      </c>
      <c r="D160" s="29">
        <f>IFERROR(INDEX(LISTADO!$F$3:$F$202,MATCH(LARGE(LISTADO!$R$3:$R$202,135),LISTADO!$R$3:$R$202,0)),"")</f>
      </c>
      <c r="E160" s="10">
        <f>IFERROR(LARGE(LISTADO!$R$3:$R$202,135),"")</f>
      </c>
      <c r="F160" s="11">
        <f>IFERROR(INDEX(LISTADO!$S$3:$S$202,MATCH(LARGE(LISTADO!$R$3:$R$202,135),LISTADO!$R$3:$R$202,0)),"")</f>
      </c>
    </row>
    <row r="161" ht="18" customHeight="1" spans="1:6" x14ac:dyDescent="0.25">
      <c r="A161" s="18">
        <v>136</v>
      </c>
      <c r="B161" s="30">
        <f>IFERROR(INDEX(LISTADO!$D$3:$D$202,MATCH(LARGE(LISTADO!$R$3:$R$202,136),LISTADO!$R$3:$R$202,0)),"")</f>
      </c>
      <c r="C161" s="30">
        <f>IFERROR(INDEX(LISTADO!$E$3:$E$202,MATCH(LARGE(LISTADO!$R$3:$R$202,136),LISTADO!$R$3:$R$202,0)),"")</f>
      </c>
      <c r="D161" s="30">
        <f>IFERROR(INDEX(LISTADO!$F$3:$F$202,MATCH(LARGE(LISTADO!$R$3:$R$202,136),LISTADO!$R$3:$R$202,0)),"")</f>
      </c>
      <c r="E161" s="17">
        <f>IFERROR(LARGE(LISTADO!$R$3:$R$202,136),"")</f>
      </c>
      <c r="F161" s="18">
        <f>IFERROR(INDEX(LISTADO!$S$3:$S$202,MATCH(LARGE(LISTADO!$R$3:$R$202,136),LISTADO!$R$3:$R$202,0)),"")</f>
      </c>
    </row>
    <row r="162" ht="18" customHeight="1" spans="1:6" x14ac:dyDescent="0.25">
      <c r="A162" s="11">
        <v>137</v>
      </c>
      <c r="B162" s="29">
        <f>IFERROR(INDEX(LISTADO!$D$3:$D$202,MATCH(LARGE(LISTADO!$R$3:$R$202,137),LISTADO!$R$3:$R$202,0)),"")</f>
      </c>
      <c r="C162" s="29">
        <f>IFERROR(INDEX(LISTADO!$E$3:$E$202,MATCH(LARGE(LISTADO!$R$3:$R$202,137),LISTADO!$R$3:$R$202,0)),"")</f>
      </c>
      <c r="D162" s="29">
        <f>IFERROR(INDEX(LISTADO!$F$3:$F$202,MATCH(LARGE(LISTADO!$R$3:$R$202,137),LISTADO!$R$3:$R$202,0)),"")</f>
      </c>
      <c r="E162" s="10">
        <f>IFERROR(LARGE(LISTADO!$R$3:$R$202,137),"")</f>
      </c>
      <c r="F162" s="11">
        <f>IFERROR(INDEX(LISTADO!$S$3:$S$202,MATCH(LARGE(LISTADO!$R$3:$R$202,137),LISTADO!$R$3:$R$202,0)),"")</f>
      </c>
    </row>
    <row r="163" ht="18" customHeight="1" spans="1:6" x14ac:dyDescent="0.25">
      <c r="A163" s="18">
        <v>138</v>
      </c>
      <c r="B163" s="30">
        <f>IFERROR(INDEX(LISTADO!$D$3:$D$202,MATCH(LARGE(LISTADO!$R$3:$R$202,138),LISTADO!$R$3:$R$202,0)),"")</f>
      </c>
      <c r="C163" s="30">
        <f>IFERROR(INDEX(LISTADO!$E$3:$E$202,MATCH(LARGE(LISTADO!$R$3:$R$202,138),LISTADO!$R$3:$R$202,0)),"")</f>
      </c>
      <c r="D163" s="30">
        <f>IFERROR(INDEX(LISTADO!$F$3:$F$202,MATCH(LARGE(LISTADO!$R$3:$R$202,138),LISTADO!$R$3:$R$202,0)),"")</f>
      </c>
      <c r="E163" s="17">
        <f>IFERROR(LARGE(LISTADO!$R$3:$R$202,138),"")</f>
      </c>
      <c r="F163" s="18">
        <f>IFERROR(INDEX(LISTADO!$S$3:$S$202,MATCH(LARGE(LISTADO!$R$3:$R$202,138),LISTADO!$R$3:$R$202,0)),"")</f>
      </c>
    </row>
    <row r="164" ht="18" customHeight="1" spans="1:6" x14ac:dyDescent="0.25">
      <c r="A164" s="11">
        <v>139</v>
      </c>
      <c r="B164" s="29">
        <f>IFERROR(INDEX(LISTADO!$D$3:$D$202,MATCH(LARGE(LISTADO!$R$3:$R$202,139),LISTADO!$R$3:$R$202,0)),"")</f>
      </c>
      <c r="C164" s="29">
        <f>IFERROR(INDEX(LISTADO!$E$3:$E$202,MATCH(LARGE(LISTADO!$R$3:$R$202,139),LISTADO!$R$3:$R$202,0)),"")</f>
      </c>
      <c r="D164" s="29">
        <f>IFERROR(INDEX(LISTADO!$F$3:$F$202,MATCH(LARGE(LISTADO!$R$3:$R$202,139),LISTADO!$R$3:$R$202,0)),"")</f>
      </c>
      <c r="E164" s="10">
        <f>IFERROR(LARGE(LISTADO!$R$3:$R$202,139),"")</f>
      </c>
      <c r="F164" s="11">
        <f>IFERROR(INDEX(LISTADO!$S$3:$S$202,MATCH(LARGE(LISTADO!$R$3:$R$202,139),LISTADO!$R$3:$R$202,0)),"")</f>
      </c>
    </row>
    <row r="165" ht="18" customHeight="1" spans="1:6" x14ac:dyDescent="0.25">
      <c r="A165" s="18">
        <v>140</v>
      </c>
      <c r="B165" s="30">
        <f>IFERROR(INDEX(LISTADO!$D$3:$D$202,MATCH(LARGE(LISTADO!$R$3:$R$202,140),LISTADO!$R$3:$R$202,0)),"")</f>
      </c>
      <c r="C165" s="30">
        <f>IFERROR(INDEX(LISTADO!$E$3:$E$202,MATCH(LARGE(LISTADO!$R$3:$R$202,140),LISTADO!$R$3:$R$202,0)),"")</f>
      </c>
      <c r="D165" s="30">
        <f>IFERROR(INDEX(LISTADO!$F$3:$F$202,MATCH(LARGE(LISTADO!$R$3:$R$202,140),LISTADO!$R$3:$R$202,0)),"")</f>
      </c>
      <c r="E165" s="17">
        <f>IFERROR(LARGE(LISTADO!$R$3:$R$202,140),"")</f>
      </c>
      <c r="F165" s="18">
        <f>IFERROR(INDEX(LISTADO!$S$3:$S$202,MATCH(LARGE(LISTADO!$R$3:$R$202,140),LISTADO!$R$3:$R$202,0)),"")</f>
      </c>
    </row>
    <row r="166" ht="18" customHeight="1" spans="1:6" x14ac:dyDescent="0.25">
      <c r="A166" s="11">
        <v>141</v>
      </c>
      <c r="B166" s="29">
        <f>IFERROR(INDEX(LISTADO!$D$3:$D$202,MATCH(LARGE(LISTADO!$R$3:$R$202,141),LISTADO!$R$3:$R$202,0)),"")</f>
      </c>
      <c r="C166" s="29">
        <f>IFERROR(INDEX(LISTADO!$E$3:$E$202,MATCH(LARGE(LISTADO!$R$3:$R$202,141),LISTADO!$R$3:$R$202,0)),"")</f>
      </c>
      <c r="D166" s="29">
        <f>IFERROR(INDEX(LISTADO!$F$3:$F$202,MATCH(LARGE(LISTADO!$R$3:$R$202,141),LISTADO!$R$3:$R$202,0)),"")</f>
      </c>
      <c r="E166" s="10">
        <f>IFERROR(LARGE(LISTADO!$R$3:$R$202,141),"")</f>
      </c>
      <c r="F166" s="11">
        <f>IFERROR(INDEX(LISTADO!$S$3:$S$202,MATCH(LARGE(LISTADO!$R$3:$R$202,141),LISTADO!$R$3:$R$202,0)),"")</f>
      </c>
    </row>
    <row r="167" ht="18" customHeight="1" spans="1:6" x14ac:dyDescent="0.25">
      <c r="A167" s="18">
        <v>142</v>
      </c>
      <c r="B167" s="30">
        <f>IFERROR(INDEX(LISTADO!$D$3:$D$202,MATCH(LARGE(LISTADO!$R$3:$R$202,142),LISTADO!$R$3:$R$202,0)),"")</f>
      </c>
      <c r="C167" s="30">
        <f>IFERROR(INDEX(LISTADO!$E$3:$E$202,MATCH(LARGE(LISTADO!$R$3:$R$202,142),LISTADO!$R$3:$R$202,0)),"")</f>
      </c>
      <c r="D167" s="30">
        <f>IFERROR(INDEX(LISTADO!$F$3:$F$202,MATCH(LARGE(LISTADO!$R$3:$R$202,142),LISTADO!$R$3:$R$202,0)),"")</f>
      </c>
      <c r="E167" s="17">
        <f>IFERROR(LARGE(LISTADO!$R$3:$R$202,142),"")</f>
      </c>
      <c r="F167" s="18">
        <f>IFERROR(INDEX(LISTADO!$S$3:$S$202,MATCH(LARGE(LISTADO!$R$3:$R$202,142),LISTADO!$R$3:$R$202,0)),"")</f>
      </c>
    </row>
    <row r="168" ht="18" customHeight="1" spans="1:6" x14ac:dyDescent="0.25">
      <c r="A168" s="11">
        <v>143</v>
      </c>
      <c r="B168" s="29">
        <f>IFERROR(INDEX(LISTADO!$D$3:$D$202,MATCH(LARGE(LISTADO!$R$3:$R$202,143),LISTADO!$R$3:$R$202,0)),"")</f>
      </c>
      <c r="C168" s="29">
        <f>IFERROR(INDEX(LISTADO!$E$3:$E$202,MATCH(LARGE(LISTADO!$R$3:$R$202,143),LISTADO!$R$3:$R$202,0)),"")</f>
      </c>
      <c r="D168" s="29">
        <f>IFERROR(INDEX(LISTADO!$F$3:$F$202,MATCH(LARGE(LISTADO!$R$3:$R$202,143),LISTADO!$R$3:$R$202,0)),"")</f>
      </c>
      <c r="E168" s="10">
        <f>IFERROR(LARGE(LISTADO!$R$3:$R$202,143),"")</f>
      </c>
      <c r="F168" s="11">
        <f>IFERROR(INDEX(LISTADO!$S$3:$S$202,MATCH(LARGE(LISTADO!$R$3:$R$202,143),LISTADO!$R$3:$R$202,0)),"")</f>
      </c>
    </row>
    <row r="169" ht="18" customHeight="1" spans="1:6" x14ac:dyDescent="0.25">
      <c r="A169" s="18">
        <v>144</v>
      </c>
      <c r="B169" s="30">
        <f>IFERROR(INDEX(LISTADO!$D$3:$D$202,MATCH(LARGE(LISTADO!$R$3:$R$202,144),LISTADO!$R$3:$R$202,0)),"")</f>
      </c>
      <c r="C169" s="30">
        <f>IFERROR(INDEX(LISTADO!$E$3:$E$202,MATCH(LARGE(LISTADO!$R$3:$R$202,144),LISTADO!$R$3:$R$202,0)),"")</f>
      </c>
      <c r="D169" s="30">
        <f>IFERROR(INDEX(LISTADO!$F$3:$F$202,MATCH(LARGE(LISTADO!$R$3:$R$202,144),LISTADO!$R$3:$R$202,0)),"")</f>
      </c>
      <c r="E169" s="17">
        <f>IFERROR(LARGE(LISTADO!$R$3:$R$202,144),"")</f>
      </c>
      <c r="F169" s="18">
        <f>IFERROR(INDEX(LISTADO!$S$3:$S$202,MATCH(LARGE(LISTADO!$R$3:$R$202,144),LISTADO!$R$3:$R$202,0)),"")</f>
      </c>
    </row>
    <row r="170" ht="18" customHeight="1" spans="1:6" x14ac:dyDescent="0.25">
      <c r="A170" s="11">
        <v>145</v>
      </c>
      <c r="B170" s="29">
        <f>IFERROR(INDEX(LISTADO!$D$3:$D$202,MATCH(LARGE(LISTADO!$R$3:$R$202,145),LISTADO!$R$3:$R$202,0)),"")</f>
      </c>
      <c r="C170" s="29">
        <f>IFERROR(INDEX(LISTADO!$E$3:$E$202,MATCH(LARGE(LISTADO!$R$3:$R$202,145),LISTADO!$R$3:$R$202,0)),"")</f>
      </c>
      <c r="D170" s="29">
        <f>IFERROR(INDEX(LISTADO!$F$3:$F$202,MATCH(LARGE(LISTADO!$R$3:$R$202,145),LISTADO!$R$3:$R$202,0)),"")</f>
      </c>
      <c r="E170" s="10">
        <f>IFERROR(LARGE(LISTADO!$R$3:$R$202,145),"")</f>
      </c>
      <c r="F170" s="11">
        <f>IFERROR(INDEX(LISTADO!$S$3:$S$202,MATCH(LARGE(LISTADO!$R$3:$R$202,145),LISTADO!$R$3:$R$202,0)),"")</f>
      </c>
    </row>
    <row r="171" ht="18" customHeight="1" spans="1:6" x14ac:dyDescent="0.25">
      <c r="A171" s="18">
        <v>146</v>
      </c>
      <c r="B171" s="30">
        <f>IFERROR(INDEX(LISTADO!$D$3:$D$202,MATCH(LARGE(LISTADO!$R$3:$R$202,146),LISTADO!$R$3:$R$202,0)),"")</f>
      </c>
      <c r="C171" s="30">
        <f>IFERROR(INDEX(LISTADO!$E$3:$E$202,MATCH(LARGE(LISTADO!$R$3:$R$202,146),LISTADO!$R$3:$R$202,0)),"")</f>
      </c>
      <c r="D171" s="30">
        <f>IFERROR(INDEX(LISTADO!$F$3:$F$202,MATCH(LARGE(LISTADO!$R$3:$R$202,146),LISTADO!$R$3:$R$202,0)),"")</f>
      </c>
      <c r="E171" s="17">
        <f>IFERROR(LARGE(LISTADO!$R$3:$R$202,146),"")</f>
      </c>
      <c r="F171" s="18">
        <f>IFERROR(INDEX(LISTADO!$S$3:$S$202,MATCH(LARGE(LISTADO!$R$3:$R$202,146),LISTADO!$R$3:$R$202,0)),"")</f>
      </c>
    </row>
    <row r="172" ht="18" customHeight="1" spans="1:6" x14ac:dyDescent="0.25">
      <c r="A172" s="11">
        <v>147</v>
      </c>
      <c r="B172" s="29">
        <f>IFERROR(INDEX(LISTADO!$D$3:$D$202,MATCH(LARGE(LISTADO!$R$3:$R$202,147),LISTADO!$R$3:$R$202,0)),"")</f>
      </c>
      <c r="C172" s="29">
        <f>IFERROR(INDEX(LISTADO!$E$3:$E$202,MATCH(LARGE(LISTADO!$R$3:$R$202,147),LISTADO!$R$3:$R$202,0)),"")</f>
      </c>
      <c r="D172" s="29">
        <f>IFERROR(INDEX(LISTADO!$F$3:$F$202,MATCH(LARGE(LISTADO!$R$3:$R$202,147),LISTADO!$R$3:$R$202,0)),"")</f>
      </c>
      <c r="E172" s="10">
        <f>IFERROR(LARGE(LISTADO!$R$3:$R$202,147),"")</f>
      </c>
      <c r="F172" s="11">
        <f>IFERROR(INDEX(LISTADO!$S$3:$S$202,MATCH(LARGE(LISTADO!$R$3:$R$202,147),LISTADO!$R$3:$R$202,0)),"")</f>
      </c>
    </row>
    <row r="173" ht="18" customHeight="1" spans="1:6" x14ac:dyDescent="0.25">
      <c r="A173" s="18">
        <v>148</v>
      </c>
      <c r="B173" s="30">
        <f>IFERROR(INDEX(LISTADO!$D$3:$D$202,MATCH(LARGE(LISTADO!$R$3:$R$202,148),LISTADO!$R$3:$R$202,0)),"")</f>
      </c>
      <c r="C173" s="30">
        <f>IFERROR(INDEX(LISTADO!$E$3:$E$202,MATCH(LARGE(LISTADO!$R$3:$R$202,148),LISTADO!$R$3:$R$202,0)),"")</f>
      </c>
      <c r="D173" s="30">
        <f>IFERROR(INDEX(LISTADO!$F$3:$F$202,MATCH(LARGE(LISTADO!$R$3:$R$202,148),LISTADO!$R$3:$R$202,0)),"")</f>
      </c>
      <c r="E173" s="17">
        <f>IFERROR(LARGE(LISTADO!$R$3:$R$202,148),"")</f>
      </c>
      <c r="F173" s="18">
        <f>IFERROR(INDEX(LISTADO!$S$3:$S$202,MATCH(LARGE(LISTADO!$R$3:$R$202,148),LISTADO!$R$3:$R$202,0)),"")</f>
      </c>
    </row>
    <row r="174" ht="18" customHeight="1" spans="1:6" x14ac:dyDescent="0.25">
      <c r="A174" s="11">
        <v>149</v>
      </c>
      <c r="B174" s="29">
        <f>IFERROR(INDEX(LISTADO!$D$3:$D$202,MATCH(LARGE(LISTADO!$R$3:$R$202,149),LISTADO!$R$3:$R$202,0)),"")</f>
      </c>
      <c r="C174" s="29">
        <f>IFERROR(INDEX(LISTADO!$E$3:$E$202,MATCH(LARGE(LISTADO!$R$3:$R$202,149),LISTADO!$R$3:$R$202,0)),"")</f>
      </c>
      <c r="D174" s="29">
        <f>IFERROR(INDEX(LISTADO!$F$3:$F$202,MATCH(LARGE(LISTADO!$R$3:$R$202,149),LISTADO!$R$3:$R$202,0)),"")</f>
      </c>
      <c r="E174" s="10">
        <f>IFERROR(LARGE(LISTADO!$R$3:$R$202,149),"")</f>
      </c>
      <c r="F174" s="11">
        <f>IFERROR(INDEX(LISTADO!$S$3:$S$202,MATCH(LARGE(LISTADO!$R$3:$R$202,149),LISTADO!$R$3:$R$202,0)),"")</f>
      </c>
    </row>
    <row r="175" ht="18" customHeight="1" spans="1:6" x14ac:dyDescent="0.25">
      <c r="A175" s="18">
        <v>150</v>
      </c>
      <c r="B175" s="30">
        <f>IFERROR(INDEX(LISTADO!$D$3:$D$202,MATCH(LARGE(LISTADO!$R$3:$R$202,150),LISTADO!$R$3:$R$202,0)),"")</f>
      </c>
      <c r="C175" s="30">
        <f>IFERROR(INDEX(LISTADO!$E$3:$E$202,MATCH(LARGE(LISTADO!$R$3:$R$202,150),LISTADO!$R$3:$R$202,0)),"")</f>
      </c>
      <c r="D175" s="30">
        <f>IFERROR(INDEX(LISTADO!$F$3:$F$202,MATCH(LARGE(LISTADO!$R$3:$R$202,150),LISTADO!$R$3:$R$202,0)),"")</f>
      </c>
      <c r="E175" s="17">
        <f>IFERROR(LARGE(LISTADO!$R$3:$R$202,150),"")</f>
      </c>
      <c r="F175" s="18">
        <f>IFERROR(INDEX(LISTADO!$S$3:$S$202,MATCH(LARGE(LISTADO!$R$3:$R$202,150),LISTADO!$R$3:$R$202,0)),"")</f>
      </c>
    </row>
  </sheetData>
  <mergeCells count="4">
    <mergeCell ref="A1:G1"/>
    <mergeCell ref="A3:C3"/>
    <mergeCell ref="A11:G11"/>
    <mergeCell ref="A24:F24"/>
  </mergeCells>
  <conditionalFormatting sqref="F26:F175">
    <cfRule type="containsText" dxfId="8" priority="1">
      <formula>NOT(ISERROR(SEARCH("Prioritaria",F26)))</formula>
    </cfRule>
    <cfRule type="containsText" dxfId="9" priority="2">
      <formula>NOT(ISERROR(SEARCH("Recomendada",F26)))</formula>
    </cfRule>
    <cfRule type="containsText" dxfId="10" priority="3">
      <formula>NOT(ISERROR(SEARCH("Condicional",F26)))</formula>
    </cfRule>
    <cfRule type="containsText" dxfId="11" priority="4">
      <formula>NOT(ISERROR(SEARCH("Lista de espera",F26)))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LISTADO</vt:lpstr>
      <vt:lpstr>INSTRUCCIONES</vt:lpstr>
      <vt:lpstr>Listas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Antioquia Natural - Gobernación de Antioquia</dc:creator>
  <dc:title/>
  <dc:subject/>
  <dc:description/>
  <cp:keywords/>
  <cp:category/>
  <cp:lastModifiedBy>Unknown</cp:lastModifiedBy>
  <dcterms:created xsi:type="dcterms:W3CDTF">2026-07-10T21:45:08Z</dcterms:created>
  <dcterms:modified xsi:type="dcterms:W3CDTF">2026-07-10T21:45:08Z</dcterms:modified>
</cp:coreProperties>
</file>