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24226"/>
  <mc:AlternateContent xmlns:mc="http://schemas.openxmlformats.org/markup-compatibility/2006">
    <mc:Choice Requires="x15">
      <x15ac:absPath xmlns:x15ac="http://schemas.microsoft.com/office/spreadsheetml/2010/11/ac" url="/Users/sebas/Antioquia Natural/Documentos gobernacion/TI/PLAN DE CAMBIOS/"/>
    </mc:Choice>
  </mc:AlternateContent>
  <xr:revisionPtr revIDLastSave="0" documentId="13_ncr:1_{97440317-9FF0-CD46-9876-AFF046BDFD17}" xr6:coauthVersionLast="47" xr6:coauthVersionMax="47" xr10:uidLastSave="{00000000-0000-0000-0000-000000000000}"/>
  <bookViews>
    <workbookView xWindow="0" yWindow="0" windowWidth="28800" windowHeight="18000" activeTab="2" xr2:uid="{00000000-000D-0000-FFFF-FFFF00000000}"/>
  </bookViews>
  <sheets>
    <sheet name="Plan de cambios" sheetId="1" r:id="rId1"/>
    <sheet name="Matriz de Impacto vs Riesgo" sheetId="2" r:id="rId2"/>
    <sheet name="VMs Asignadas" sheetId="3" r:id="rId3"/>
    <sheet name="Plan de recuperación" sheetId="4" state="hidden" r:id="rId4"/>
  </sheets>
  <externalReferences>
    <externalReference r:id="rId5"/>
  </externalReferences>
  <definedNames>
    <definedName name="Afectacion" localSheetId="1">'[1]Matriz impacto-riesgo'!$R$13:$R$15</definedName>
    <definedName name="Afectacion">'[1]Matriz impacto-riesgo'!$R$13:$R$15</definedName>
    <definedName name="Aplicaciones" localSheetId="1">'[1]Matriz impacto-riesgo'!$R$25:$R$28</definedName>
    <definedName name="Aplicaciones">'[1]Matriz impacto-riesgo'!$R$25:$R$28</definedName>
    <definedName name="Complejidad" localSheetId="1">'[1]Matriz impacto-riesgo'!$R$10:$R$12</definedName>
    <definedName name="Complejidad">'[1]Matriz impacto-riesgo'!$R$10:$R$12</definedName>
    <definedName name="Experienciacambios" localSheetId="1">'[1]Matriz impacto-riesgo'!$R$4:$R$6</definedName>
    <definedName name="Experienciacambios">'[1]Matriz impacto-riesgo'!$R$4:$R$6</definedName>
    <definedName name="Externos" localSheetId="1">'[1]Matriz impacto-riesgo'!$R$16:$R$17</definedName>
    <definedName name="Externos">'[1]Matriz impacto-riesgo'!$R$16:$R$17</definedName>
    <definedName name="Impacto" localSheetId="1">'[1]Matriz impacto-riesgo'!$R$7:$R$9</definedName>
    <definedName name="Impacto">'[1]Matriz impacto-riesgo'!$R$7:$R$9</definedName>
    <definedName name="Implementacion" localSheetId="1">'[1]Matriz impacto-riesgo'!$R$18:$R$20</definedName>
    <definedName name="Implementacion">'[1]Matriz impacto-riesgo'!$R$18:$R$20</definedName>
    <definedName name="Servicios" localSheetId="1">'[1]Matriz impacto-riesgo'!$R$21:$R$24</definedName>
    <definedName name="Servicios">'[1]Matriz impacto-riesgo'!$R$21:$R$24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8" i="2" l="1"/>
  <c r="F17" i="2"/>
  <c r="F16" i="2"/>
  <c r="F15" i="2"/>
  <c r="F14" i="2"/>
  <c r="F13" i="2"/>
  <c r="F12" i="2"/>
  <c r="F11" i="2"/>
  <c r="F10" i="2"/>
  <c r="F9" i="2"/>
  <c r="F20" i="2" s="1"/>
  <c r="E20" i="2" s="1"/>
  <c r="H20" i="2" s="1"/>
  <c r="D57" i="1"/>
  <c r="F5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EQUIPO</author>
    <author>user</author>
    <author>AMARQUEZZ</author>
  </authors>
  <commentList>
    <comment ref="B6" authorId="0" shapeId="0" xr:uid="{00000000-0006-0000-0000-000001000000}">
      <text>
        <r>
          <rPr>
            <sz val="11"/>
            <color theme="1"/>
            <rFont val="Calibri"/>
            <family val="2"/>
            <scheme val="minor"/>
          </rPr>
          <t xml:space="preserve">DEFINICIONES
¿QUÉ ES UN CAMBIO?: Son adiciones, modificaciones o remociones aprobadas, soportadas o basadas en equipos físicos, de red, software, aplicación, sistema, versión de computadores o documentación asociada.
TIPOS DE CAMBIOS
CAMBIO ESTÁNDAR (PRE-APROBADO): Es una modificación en la línea base de un servicio que por el volumen de generación y su resultado en la evaluación del impacto vs riesgo es bajo o nulo en la operatividad de los servicios, ya cuenta con aprobación previa, tiene ventana negociada y un flujo de trabajo (pre establecido) para su ejecución.  
CAMBIO NORMALES: Una modificación o adición en cualquier elemento de configuración (CI) que está asociado a errores conocidos o a nuevas implementaciones que afectan la operatividad de la plataforma y su resultado en la evaluación de impacto vs riesgo sea Alta o Media. 
NOTA: Los cambios normales requieren programación y aprobación del CAB.
CAMBIO DE EMERGENCIA: Son aquellos cambios que demandan prioridad absoluta y se realizan a la mayor brevedad posible debido a que está en riesgo la prestación de un servicio. 
NOTA: Los cambios de emergencia deben estar aprobados por el ECAB.  
</t>
        </r>
      </text>
    </comment>
    <comment ref="D6" authorId="1" shapeId="0" xr:uid="{00000000-0006-0000-0000-000002000000}">
      <text>
        <r>
          <rPr>
            <sz val="11"/>
            <color rgb="FF000000"/>
            <rFont val="Calibri"/>
            <family val="2"/>
          </rPr>
          <t xml:space="preserve">user:
</t>
        </r>
        <r>
          <rPr>
            <sz val="11"/>
            <color rgb="FF000000"/>
            <rFont val="Calibri"/>
            <family val="2"/>
          </rPr>
          <t xml:space="preserve">Estándar
</t>
        </r>
        <r>
          <rPr>
            <sz val="11"/>
            <color rgb="FF000000"/>
            <rFont val="Calibri"/>
            <family val="2"/>
          </rPr>
          <t xml:space="preserve">Normal
</t>
        </r>
        <r>
          <rPr>
            <sz val="11"/>
            <color rgb="FF000000"/>
            <rFont val="Calibri"/>
            <family val="2"/>
          </rPr>
          <t>Emergencia</t>
        </r>
      </text>
    </comment>
    <comment ref="K24" authorId="2" shapeId="0" xr:uid="{00000000-0006-0000-0000-000003000000}">
      <text>
        <r>
          <rPr>
            <sz val="11"/>
            <color rgb="FF000000"/>
            <rFont val="Calibri"/>
            <family val="2"/>
          </rPr>
          <t xml:space="preserve">AMARQUEZZ:
</t>
        </r>
        <r>
          <rPr>
            <sz val="11"/>
            <color rgb="FF000000"/>
            <rFont val="Calibri"/>
            <family val="2"/>
          </rPr>
          <t>Se requiere - Alejandro Ospina</t>
        </r>
      </text>
    </comment>
    <comment ref="L24" authorId="2" shapeId="0" xr:uid="{00000000-0006-0000-0000-000004000000}">
      <text>
        <r>
          <rPr>
            <sz val="11"/>
            <color theme="1"/>
            <rFont val="Calibri"/>
            <family val="2"/>
            <scheme val="minor"/>
          </rPr>
          <t>AMARQUEZZ:
No se requiere para la actividad</t>
        </r>
      </text>
    </comment>
    <comment ref="M24" authorId="2" shapeId="0" xr:uid="{00000000-0006-0000-0000-000005000000}">
      <text>
        <r>
          <rPr>
            <sz val="11"/>
            <color theme="1"/>
            <rFont val="Calibri"/>
            <family val="2"/>
            <scheme val="minor"/>
          </rPr>
          <t>AMARQUEZZ:
No se requiere para la actividad</t>
        </r>
      </text>
    </comment>
    <comment ref="F50" authorId="0" shapeId="0" xr:uid="{00000000-0006-0000-0000-000006000000}">
      <text>
        <r>
          <rPr>
            <sz val="11"/>
            <color theme="1"/>
            <rFont val="Calibri"/>
            <family val="2"/>
            <scheme val="minor"/>
          </rPr>
          <t xml:space="preserve">Fecha y hora de la actividad final (PLANEADO) - Fecha y hora de la actividad inicial (PLANEADO)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AMARQUEZZ</author>
    <author>EQUIPO</author>
  </authors>
  <commentList>
    <comment ref="C3" authorId="0" shapeId="0" xr:uid="{00000000-0006-0000-0100-000001000000}">
      <text>
        <r>
          <rPr>
            <sz val="11"/>
            <color rgb="FF000000"/>
            <rFont val="Calibri"/>
            <family val="2"/>
          </rPr>
          <t xml:space="preserve">AMARQUEZZ:
</t>
        </r>
        <r>
          <rPr>
            <sz val="11"/>
            <color rgb="FF000000"/>
            <rFont val="Calibri"/>
            <family val="2"/>
          </rPr>
          <t>No es el # de caso</t>
        </r>
      </text>
    </comment>
    <comment ref="B4" authorId="0" shapeId="0" xr:uid="{00000000-0006-0000-0100-000002000000}">
      <text>
        <r>
          <rPr>
            <sz val="11"/>
            <color rgb="FF000000"/>
            <rFont val="Calibri"/>
            <family val="2"/>
          </rPr>
          <t xml:space="preserve">AMARQUEZZ:
</t>
        </r>
        <r>
          <rPr>
            <sz val="11"/>
            <color rgb="FF000000"/>
            <rFont val="Calibri"/>
            <family val="2"/>
          </rPr>
          <t>No es la justificación del plan</t>
        </r>
      </text>
    </comment>
    <comment ref="C5" authorId="0" shapeId="0" xr:uid="{00000000-0006-0000-0100-000003000000}">
      <text>
        <r>
          <rPr>
            <sz val="11"/>
            <color rgb="FF000000"/>
            <rFont val="Calibri"/>
            <family val="2"/>
          </rPr>
          <t xml:space="preserve">AMARQUEZZ:
</t>
        </r>
        <r>
          <rPr>
            <sz val="11"/>
            <color rgb="FF000000"/>
            <rFont val="Calibri"/>
            <family val="2"/>
          </rPr>
          <t>No son las observaciones del caso</t>
        </r>
      </text>
    </comment>
    <comment ref="B9" authorId="1" shapeId="0" xr:uid="{00000000-0006-0000-0100-000004000000}">
      <text>
        <r>
          <rPr>
            <sz val="11"/>
            <color theme="1"/>
            <rFont val="Calibri"/>
            <family val="2"/>
            <scheme val="minor"/>
          </rPr>
          <t>Hace referencia a cuántas veces se ha ejecutado el cambio de  forma satisfactoria</t>
        </r>
      </text>
    </comment>
    <comment ref="B10" authorId="1" shapeId="0" xr:uid="{00000000-0006-0000-0100-000005000000}">
      <text>
        <r>
          <rPr>
            <sz val="11"/>
            <color theme="1"/>
            <rFont val="Calibri"/>
            <family val="2"/>
            <scheme val="minor"/>
          </rPr>
          <t>Se refiere al impacto que se genera en cadena hacia otros componentes.
Alto: Que no se tenga un plan de disponibilidad. Componen SPOF 
Medio: Puede ser un SPOF, pero se cuenta con un plan de recuperación probado. 
Bajo: No es un punto único de fallo (No afecta la disponibilidad del servicio)</t>
        </r>
      </text>
    </comment>
    <comment ref="B11" authorId="1" shapeId="0" xr:uid="{00000000-0006-0000-0100-000006000000}">
      <text>
        <r>
          <rPr>
            <sz val="11"/>
            <color theme="1"/>
            <rFont val="Calibri"/>
            <family val="2"/>
            <scheme val="minor"/>
          </rPr>
          <t xml:space="preserve">Cuál es el nivel de dificultad que tiene la implementación del cambio, se necesitan conocimientos específicos y de alto nivel para dicha implementación?
</t>
        </r>
      </text>
    </comment>
    <comment ref="B12" authorId="1" shapeId="0" xr:uid="{00000000-0006-0000-0100-000007000000}">
      <text>
        <r>
          <rPr>
            <sz val="11"/>
            <color theme="1"/>
            <rFont val="Calibri"/>
            <family val="2"/>
            <scheme val="minor"/>
          </rPr>
          <t>Cantidad de personas que usan un servicio, aplicación o componente que pueden ver afectadas sus labores durante la implementación.</t>
        </r>
      </text>
    </comment>
    <comment ref="B13" authorId="1" shapeId="0" xr:uid="{00000000-0006-0000-0100-000008000000}">
      <text>
        <r>
          <rPr>
            <sz val="11"/>
            <color theme="1"/>
            <rFont val="Calibri"/>
            <family val="2"/>
            <scheme val="minor"/>
          </rPr>
          <t>Hay usuarios externos afectados por el cambio?</t>
        </r>
      </text>
    </comment>
    <comment ref="B14" authorId="1" shapeId="0" xr:uid="{00000000-0006-0000-0100-000009000000}">
      <text>
        <r>
          <rPr>
            <sz val="11"/>
            <color theme="1"/>
            <rFont val="Calibri"/>
            <family val="2"/>
            <scheme val="minor"/>
          </rPr>
          <t>Es  totalmente necesario el cambio? Si no se implementa se ponen en riesgo otros servicios, temas contractuales, etc.?</t>
        </r>
      </text>
    </comment>
    <comment ref="B15" authorId="1" shapeId="0" xr:uid="{00000000-0006-0000-0100-00000A000000}">
      <text>
        <r>
          <rPr>
            <sz val="11"/>
            <color theme="1"/>
            <rFont val="Calibri"/>
            <family val="2"/>
            <scheme val="minor"/>
          </rPr>
          <t>Cantidad de servicios que se verán afectados durante la implementación del cambio</t>
        </r>
      </text>
    </comment>
    <comment ref="B16" authorId="1" shapeId="0" xr:uid="{00000000-0006-0000-0100-00000B000000}">
      <text>
        <r>
          <rPr>
            <sz val="11"/>
            <color theme="1"/>
            <rFont val="Calibri"/>
            <family val="2"/>
            <scheme val="minor"/>
          </rPr>
          <t xml:space="preserve">El componente donde  se ejecutará el cambio es vital para la prestación del servicio? </t>
        </r>
      </text>
    </comment>
    <comment ref="B17" authorId="1" shapeId="0" xr:uid="{00000000-0006-0000-0100-00000C000000}">
      <text>
        <r>
          <rPr>
            <sz val="11"/>
            <color theme="1"/>
            <rFont val="Calibri"/>
            <family val="2"/>
            <scheme val="minor"/>
          </rPr>
          <t>Cuantas aplicaciones se afectarán durante la implementación del cambio?</t>
        </r>
      </text>
    </comment>
    <comment ref="B18" authorId="1" shapeId="0" xr:uid="{00000000-0006-0000-0100-00000D000000}">
      <text>
        <r>
          <rPr>
            <sz val="11"/>
            <color theme="1"/>
            <rFont val="Calibri"/>
            <family val="2"/>
            <scheme val="minor"/>
          </rPr>
          <t xml:space="preserve">El componente tiene redundancia? Si no la tiene se genera afectación en el servicio? </t>
        </r>
      </text>
    </comment>
  </commentList>
</comments>
</file>

<file path=xl/sharedStrings.xml><?xml version="1.0" encoding="utf-8"?>
<sst xmlns="http://schemas.openxmlformats.org/spreadsheetml/2006/main" count="251" uniqueCount="128">
  <si>
    <t>PLAN DE CAMBIOS</t>
  </si>
  <si>
    <t>Código: FO-M7-P8-019</t>
  </si>
  <si>
    <t>Versión: 02</t>
  </si>
  <si>
    <t>Fecha de aprobación: 
10/01/2023</t>
  </si>
  <si>
    <t>FECHA SOLICITUD:</t>
  </si>
  <si>
    <t>CASO ASOCIADO MEGANT:</t>
  </si>
  <si>
    <t>ESTANDAR</t>
  </si>
  <si>
    <t>TIPO DE CAMBIO:</t>
  </si>
  <si>
    <t>NORMAL</t>
  </si>
  <si>
    <t>OBJETIVO:</t>
  </si>
  <si>
    <t>Aprovisionar en ambiente de producción la máquina virtual (VM) que alojará el backend y frontend de la aplicación Antioquia Natural de la Secretaría de Ambiente, con base en las especificaciones técnicas de la Solicitud de Máquina Virtual enviada previamente a TI Gobernación.</t>
  </si>
  <si>
    <t>EMERGENCIA</t>
  </si>
  <si>
    <t>META (A donde se quiere llegar - Resultado):</t>
  </si>
  <si>
    <t>Contar con una VM Ubuntu Server 24.04 LTS (4 vCPU, 8 GB RAM, 100 GB SSD, IP pública) con Docker Engine, Nginx, Certbot y Redis 7.x instalados, lista para desplegar el contenedor del backend Node.js/Express vía Docker Compose.</t>
  </si>
  <si>
    <t>DESCRIPCIÓN Y ALCANCE:</t>
  </si>
  <si>
    <t>Este cambio cubre únicamente el aprovisionamiento y configuración base de la infraestructura (VM + software base). No incluye el despliegue de la aplicación en sí, que se documentará en un Plan de Cambios posterior una vez la VM esté disponible.</t>
  </si>
  <si>
    <t>DEPENDENCIA SOLICITANTE:</t>
  </si>
  <si>
    <t>Secretaría de Ambiente</t>
  </si>
  <si>
    <t>ESPECIALISTA SOLICITANTE:</t>
  </si>
  <si>
    <t>Rafael Jenaro Roldan Ospina</t>
  </si>
  <si>
    <t xml:space="preserve">PLAN DE RESPALDO:
(Procedimiento PR-M7-P8-012 Administración de Respaldo y recuperación) 
</t>
  </si>
  <si>
    <t>N/A</t>
  </si>
  <si>
    <t>FECHA Y HORA VENTANA DE MANTENIMIENTO:</t>
  </si>
  <si>
    <t>SERVICIOS AFECTADOS:</t>
  </si>
  <si>
    <t>RIESGO:
(Diligenciar Matriz de evaluación Impacto vs Riesgo)</t>
  </si>
  <si>
    <t>BAJO</t>
  </si>
  <si>
    <t>PRERREQUISITOS:</t>
  </si>
  <si>
    <t>Autorización escrita de la Directora de Tecnología e Información para la asignación de los recursos de hardware y software (ver Solicitud_Servidor_Antioquia_Natural.docx)</t>
  </si>
  <si>
    <t>RECURSOS REQUERIDOS:</t>
  </si>
  <si>
    <t>Humanos: Sebastián Guzmán Díaz y Alejandro López (contratistas), Rafael Jenaro Roldan Ospina (especialista solicitante), administrador de Plataforma Virtual VMware que asigne TI</t>
  </si>
  <si>
    <t>Hardware: 4 vCPU, 8 GB RAM, 100 GB SSD, 1 tarjeta de red, IP pública</t>
  </si>
  <si>
    <t>Software: Ubuntu Server 24.04 LTS, Docker Engine 24+ (Compose), Nginx, Certbot, Redis 7.x</t>
  </si>
  <si>
    <t>Otros: N/A</t>
  </si>
  <si>
    <t>DATOS DEL CONTRATISTA:</t>
  </si>
  <si>
    <t xml:space="preserve">Nombre del Servicio: </t>
  </si>
  <si>
    <t>Antioquia Natural</t>
  </si>
  <si>
    <t>Contrato Vigente:</t>
  </si>
  <si>
    <t xml:space="preserve">Nombre del Contratista: </t>
  </si>
  <si>
    <t>Sebastián Guzmán Díaz y Alejandro López</t>
  </si>
  <si>
    <t xml:space="preserve">Nombre del Técnico o correo de soporte contratista: </t>
  </si>
  <si>
    <t>Sebastián Guzmán Díaz (sguzmand@gmail.com)</t>
  </si>
  <si>
    <t xml:space="preserve">Número de contacto del técnico (si aplica): </t>
  </si>
  <si>
    <t>3006552511</t>
  </si>
  <si>
    <t>R Responsable     A Aprobador      C Consultados      I Informados</t>
  </si>
  <si>
    <t>ID</t>
  </si>
  <si>
    <t xml:space="preserve">                                           Cargo/Rol
Actividades o Tareas</t>
  </si>
  <si>
    <t>Fecha  y hora inicio
Tiempo  hh:mm proyectado de la actividad</t>
  </si>
  <si>
    <t>Fecha  y hora Final
Tiempo  hh:mm proyectado de la actividad</t>
  </si>
  <si>
    <t>Total actividad
Tiempo  hh:mm proyectado de la actividad</t>
  </si>
  <si>
    <t>Comité CAB - María Cristina Giraldo Ospina</t>
  </si>
  <si>
    <t>Coordinador - Jaime Alberto Vásquez Castaño</t>
  </si>
  <si>
    <t>Administrador Plataforma Virtual VMware GOBANT - Fabio Andrés Márquez Zapata</t>
  </si>
  <si>
    <t>Administradora del Directorio Activo - Lina Saldarriaga Mora</t>
  </si>
  <si>
    <t>Administrador de la Red Corporativa - Yeison Monsalve Sánchez</t>
  </si>
  <si>
    <t>Administrador de la Herramienta de Seguridad PAM - Fredy Borja Carvajal</t>
  </si>
  <si>
    <t>Operador del Centro de Cómputo - Carlos Torres Correa</t>
  </si>
  <si>
    <t>Especialista Solicitante - Rafael Jenaro Roldan Ospina</t>
  </si>
  <si>
    <t>Contratista Antioquia Natural - Sebastián Guzmán Díaz / Alejandro López</t>
  </si>
  <si>
    <t>Observación</t>
  </si>
  <si>
    <t>Generar el requerimiento en la mesa de servicio MEGANT (ARANDA)</t>
  </si>
  <si>
    <t>R</t>
  </si>
  <si>
    <t>El caso se genera a nombre del especialista solicitante Rafael Jenaro Roldan Ospina</t>
  </si>
  <si>
    <t>Diligenciar el formato de gestión de la calidad "Plan de Cambios"</t>
  </si>
  <si>
    <t>Diligenciado por el contratista, con base en la Solicitud de Máquina Virtual ya radicada ante TI</t>
  </si>
  <si>
    <t>Autorización y asignación de recursos de hardware y software por la Dirección de Tecnología e Información</t>
  </si>
  <si>
    <t>A</t>
  </si>
  <si>
    <t>Según Solicitud_Servidor_Antioquia_Natural.docx ya radicada</t>
  </si>
  <si>
    <t>Creación y aprovisionamiento de la VM (4 vCPU, 8GB RAM, 100GB SSD, 1 tarjeta de red, IP pública) sobre la Plataforma Virtual VMware GOBANT</t>
  </si>
  <si>
    <t>Instalación y configuración base del sistema operativo Ubuntu Server 24.04 LTS</t>
  </si>
  <si>
    <t>Configuración de resolución DNS y asignación de IP pública para el dominio de Antioquia Natural</t>
  </si>
  <si>
    <t>C</t>
  </si>
  <si>
    <t>Habilitación de acceso VPN y PAM para el contratista sobre la nueva VM</t>
  </si>
  <si>
    <t>I</t>
  </si>
  <si>
    <t>Instalación de Docker Engine, Docker Compose, Nginx, Certbot y Redis 7.x sobre la VM</t>
  </si>
  <si>
    <t>Configuración de certificado SSL (Let's Encrypt/Certbot) para acceso HTTPS al dominio de Antioquia Natural</t>
  </si>
  <si>
    <t>Pruebas de conectividad y acceso (VPN, PAM, SSH, IP pública, resolución de dominio, HTTPS)</t>
  </si>
  <si>
    <t>Aprobación de la VM aprovisionada y cierre de la fase de infraestructura</t>
  </si>
  <si>
    <t>A través de comité de cambios o reunión de retroalimentación</t>
  </si>
  <si>
    <t>Cerrar el caso en la mesa de servicio MEGANT</t>
  </si>
  <si>
    <t>Total Tiempo Invertido</t>
  </si>
  <si>
    <t>NOTA: Este plan de cambios cubre únicamente el aprovisionamiento de la VM base; el despliegue de la aplicación se documentará en un Plan de Cambios posterior una vez la VM esté disponible. Fechas y horas marcadas con "???" quedan pendientes de coordinar con TI Gobernación.</t>
  </si>
  <si>
    <t>PLAN DE RECUPERACION</t>
  </si>
  <si>
    <t>Actividad</t>
  </si>
  <si>
    <t>Tiempo  hh:mm proyectado de la actividad</t>
  </si>
  <si>
    <t>Eliminar la VM aprovisionada y liberar los recursos de hardware/software asignados en la Plataforma Virtual VMware GOBANT</t>
  </si>
  <si>
    <t>Tiempo total roll back</t>
  </si>
  <si>
    <t>MATRIZ DE EVALUACIÓN DE IMPACTO VS RIESGO</t>
  </si>
  <si>
    <t>0 veces</t>
  </si>
  <si>
    <t>Justificación del cambio:
Aprovisionar la infraestructura (VM) requerida para desplegar en ambiente de producción la aplicación Antioquia Natural de la Secretaría de Ambiente, según las especificaciones técnicas ya enviadas a TI Gobernación en la Solicitud de Máquina Virtual.</t>
  </si>
  <si>
    <t>1-2 veces</t>
  </si>
  <si>
    <t>Observaciones:</t>
  </si>
  <si>
    <t>Backup nativo del servidor gestionado por TI Gobernación según sus políticas estándar (post 21:00 horas en producción); MongoDB Atlas (donde vive la base de datos) se respalda aparte, bajo el protocolo propio de TI para bases de datos institucionales.</t>
  </si>
  <si>
    <t>3 o más veces</t>
  </si>
  <si>
    <t>Alto</t>
  </si>
  <si>
    <t>Medio</t>
  </si>
  <si>
    <t>Validación</t>
  </si>
  <si>
    <t>Valoración</t>
  </si>
  <si>
    <t>Bajo</t>
  </si>
  <si>
    <t>1. Cantidad de veces que ha ejecutado este tipo de cambio</t>
  </si>
  <si>
    <t>Alta</t>
  </si>
  <si>
    <t>2. Despliegue de impacto en componentes</t>
  </si>
  <si>
    <t>Media</t>
  </si>
  <si>
    <t>3. Complejidad técnica y funcional</t>
  </si>
  <si>
    <t>Baja</t>
  </si>
  <si>
    <t>4. Cantidad de usuarios afectados</t>
  </si>
  <si>
    <t>Ninguno</t>
  </si>
  <si>
    <t>Total usuarios</t>
  </si>
  <si>
    <t>5. Usuarios externos afectados por el cambio?</t>
  </si>
  <si>
    <t>No</t>
  </si>
  <si>
    <t>Área(s) específica(s)</t>
  </si>
  <si>
    <t>6. Riesgo al no implementar el cambio</t>
  </si>
  <si>
    <t>Otros</t>
  </si>
  <si>
    <t>7. Número de servicios afectados por el cambio</t>
  </si>
  <si>
    <t>Si</t>
  </si>
  <si>
    <t>8. Criticidad del componente afectado</t>
  </si>
  <si>
    <t>9. Número de aplicativos afectados por el cambio</t>
  </si>
  <si>
    <t>Sanciones, Multas</t>
  </si>
  <si>
    <t>10. Afectación por no tener un medio de contingencia</t>
  </si>
  <si>
    <t>Afectación Servicio</t>
  </si>
  <si>
    <t>Total</t>
  </si>
  <si>
    <t>Entre 1 y 5</t>
  </si>
  <si>
    <t>Entre 10 y 17</t>
  </si>
  <si>
    <t>Entre 6 y 10</t>
  </si>
  <si>
    <t>Entre 18 y 25</t>
  </si>
  <si>
    <t>Total servicios</t>
  </si>
  <si>
    <t>Entre 26 y 31</t>
  </si>
  <si>
    <t>Total aplicativos</t>
  </si>
  <si>
    <t>Adjuntar el diagrama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</si>
</sst>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11" x14ac:knownFonts="1">
    <font>
      <sz val="11"/>
      <color theme="1"/>
      <name val="Calibri"/>
      <family val="2"/>
      <scheme val="minor"/>
    </font>
    <font>
      <sz val="10"/>
      <name val="Arial"/>
      <family val="2"/>
    </font>
    <font>
      <b/>
      <sz val="12"/>
      <color theme="1" tint="0.14999847407452621"/>
      <name val="Arial Narrow"/>
      <family val="2"/>
    </font>
    <font>
      <sz val="12"/>
      <color theme="1" tint="0.14999847407452621"/>
      <name val="Arial Narrow"/>
      <family val="2"/>
    </font>
    <font>
      <b/>
      <sz val="12"/>
      <name val="Arial Narrow"/>
      <family val="2"/>
    </font>
    <font>
      <sz val="12"/>
      <name val="Arial Narrow"/>
      <family val="2"/>
    </font>
    <font>
      <b/>
      <sz val="12"/>
      <color rgb="FFC00000"/>
      <name val="Arial Narrow"/>
      <family val="2"/>
    </font>
    <font>
      <sz val="12"/>
      <color rgb="FFC00000"/>
      <name val="Arial Narrow"/>
      <family val="2"/>
    </font>
    <font>
      <b/>
      <sz val="11"/>
      <color rgb="FFC00000"/>
      <name val="Calibri"/>
      <family val="2"/>
      <scheme val="minor"/>
    </font>
    <font>
      <sz val="11"/>
      <color rgb="FF000000"/>
      <name val="Calibri"/>
      <family val="2"/>
    </font>
    <font>
      <sz val="11"/>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rgb="FFFF0000"/>
        <bgColor indexed="64"/>
      </patternFill>
    </fill>
    <fill>
      <patternFill patternType="solid">
        <fgColor rgb="FFFF6600"/>
        <bgColor indexed="64"/>
      </patternFill>
    </fill>
    <fill>
      <patternFill patternType="solid">
        <fgColor rgb="FFF9E807"/>
        <bgColor indexed="64"/>
      </patternFill>
    </fill>
    <fill>
      <patternFill patternType="solid">
        <fgColor rgb="FFFFFF00"/>
        <bgColor indexed="64"/>
      </patternFill>
    </fill>
    <fill>
      <patternFill patternType="solid">
        <fgColor theme="2" tint="-0.249977111117893"/>
        <bgColor indexed="64"/>
      </patternFill>
    </fill>
  </fills>
  <borders count="16">
    <border>
      <left/>
      <right/>
      <top/>
      <bottom/>
      <diagonal/>
    </border>
    <border>
      <left/>
      <right style="double">
        <color theme="4" tint="-0.499984740745262"/>
      </right>
      <top style="double">
        <color theme="4" tint="-0.499984740745262"/>
      </top>
      <bottom style="double">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cellStyleXfs>
  <cellXfs count="82">
    <xf numFmtId="0" fontId="0" fillId="0" borderId="0" xfId="0"/>
    <xf numFmtId="0" fontId="3" fillId="0" borderId="0" xfId="1" applyFont="1" applyAlignment="1">
      <alignment vertical="center"/>
    </xf>
    <xf numFmtId="0" fontId="3" fillId="2" borderId="0" xfId="1" applyFont="1" applyFill="1" applyAlignment="1">
      <alignment vertical="center"/>
    </xf>
    <xf numFmtId="0" fontId="3" fillId="0" borderId="0" xfId="1" applyFont="1" applyAlignment="1">
      <alignment horizontal="left" vertical="center"/>
    </xf>
    <xf numFmtId="0" fontId="2" fillId="0" borderId="1" xfId="1" applyFont="1" applyBorder="1" applyAlignment="1">
      <alignment vertical="center"/>
    </xf>
    <xf numFmtId="0" fontId="2" fillId="0" borderId="0" xfId="1" applyFont="1" applyAlignment="1">
      <alignment vertical="center"/>
    </xf>
    <xf numFmtId="0" fontId="2" fillId="3" borderId="0" xfId="1" applyFont="1" applyFill="1" applyAlignment="1">
      <alignment vertical="center"/>
    </xf>
    <xf numFmtId="16" fontId="3" fillId="3" borderId="0" xfId="1" applyNumberFormat="1" applyFont="1" applyFill="1" applyAlignment="1">
      <alignment vertical="center"/>
    </xf>
    <xf numFmtId="0" fontId="2" fillId="4" borderId="0" xfId="1" applyFont="1" applyFill="1" applyAlignment="1">
      <alignment vertical="center"/>
    </xf>
    <xf numFmtId="0" fontId="3" fillId="4" borderId="0" xfId="1" applyFont="1" applyFill="1" applyAlignment="1">
      <alignment vertical="center"/>
    </xf>
    <xf numFmtId="0" fontId="2" fillId="5" borderId="0" xfId="1" applyFont="1" applyFill="1" applyAlignment="1">
      <alignment vertical="center"/>
    </xf>
    <xf numFmtId="0" fontId="3" fillId="5" borderId="0" xfId="1" applyFont="1" applyFill="1" applyAlignment="1">
      <alignment vertical="center"/>
    </xf>
    <xf numFmtId="0" fontId="5" fillId="0" borderId="0" xfId="0" applyFont="1" applyAlignment="1">
      <alignment vertical="center"/>
    </xf>
    <xf numFmtId="0" fontId="4" fillId="2" borderId="2" xfId="0" applyFont="1" applyFill="1" applyBorder="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left" vertical="center" wrapText="1"/>
    </xf>
    <xf numFmtId="164" fontId="5"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20" fontId="4" fillId="0" borderId="0" xfId="0" applyNumberFormat="1" applyFont="1" applyAlignment="1">
      <alignment horizontal="center" vertical="center" wrapText="1"/>
    </xf>
    <xf numFmtId="20" fontId="4" fillId="0" borderId="5"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2" fillId="0" borderId="2" xfId="1" applyFont="1" applyBorder="1" applyAlignment="1">
      <alignment horizontal="center" vertical="center"/>
    </xf>
    <xf numFmtId="0" fontId="2" fillId="2" borderId="2" xfId="1" applyFont="1" applyFill="1" applyBorder="1"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horizontal="justify" vertical="center" wrapText="1"/>
    </xf>
    <xf numFmtId="20" fontId="5" fillId="0" borderId="2" xfId="0" applyNumberFormat="1" applyFont="1" applyBorder="1" applyAlignment="1">
      <alignment horizontal="center" vertical="center"/>
    </xf>
    <xf numFmtId="0" fontId="5" fillId="0" borderId="2" xfId="0" applyFont="1" applyBorder="1" applyAlignment="1">
      <alignment horizontal="left" vertical="center" wrapText="1"/>
    </xf>
    <xf numFmtId="0" fontId="2" fillId="0" borderId="2" xfId="1" applyFont="1" applyBorder="1" applyAlignment="1">
      <alignment vertical="center"/>
    </xf>
    <xf numFmtId="0" fontId="3" fillId="0" borderId="2" xfId="1" applyFont="1" applyBorder="1" applyAlignment="1" applyProtection="1">
      <alignment vertical="center"/>
      <protection locked="0"/>
    </xf>
    <xf numFmtId="22" fontId="5" fillId="0" borderId="2" xfId="0" applyNumberFormat="1" applyFont="1" applyBorder="1" applyAlignment="1">
      <alignment horizontal="center" vertical="center"/>
    </xf>
    <xf numFmtId="0" fontId="7" fillId="7" borderId="2" xfId="0" applyFont="1" applyFill="1" applyBorder="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left" vertical="center" wrapText="1"/>
    </xf>
    <xf numFmtId="0" fontId="7" fillId="7" borderId="2" xfId="0" applyFont="1" applyFill="1" applyBorder="1" applyAlignment="1">
      <alignment horizontal="justify" vertical="center" wrapText="1"/>
    </xf>
    <xf numFmtId="0" fontId="5" fillId="0" borderId="2" xfId="1" applyFont="1" applyBorder="1" applyAlignment="1" applyProtection="1">
      <alignment vertical="center"/>
      <protection locked="0"/>
    </xf>
    <xf numFmtId="20" fontId="5" fillId="0" borderId="2" xfId="0" applyNumberFormat="1" applyFont="1" applyBorder="1" applyAlignment="1">
      <alignment horizontal="center" vertical="center" wrapText="1"/>
    </xf>
    <xf numFmtId="0" fontId="5" fillId="0" borderId="2" xfId="0" applyFont="1" applyBorder="1" applyAlignment="1">
      <alignment horizontal="left" vertical="center"/>
    </xf>
    <xf numFmtId="0" fontId="0" fillId="0" borderId="8" xfId="0" applyBorder="1"/>
    <xf numFmtId="0" fontId="0" fillId="0" borderId="4" xfId="0" applyBorder="1"/>
    <xf numFmtId="0" fontId="5" fillId="0" borderId="2" xfId="0" applyFont="1" applyBorder="1" applyAlignment="1">
      <alignment horizontal="left" vertical="center" wrapText="1"/>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4" fillId="2" borderId="2" xfId="0" applyFont="1" applyFill="1" applyBorder="1" applyAlignment="1">
      <alignment horizontal="center" vertical="center"/>
    </xf>
    <xf numFmtId="0" fontId="10" fillId="0" borderId="8" xfId="0" applyFont="1" applyBorder="1"/>
    <xf numFmtId="0" fontId="10" fillId="0" borderId="4" xfId="0" applyFont="1" applyBorder="1"/>
    <xf numFmtId="0" fontId="5" fillId="6" borderId="2" xfId="0" applyFont="1" applyFill="1" applyBorder="1" applyAlignment="1">
      <alignment horizontal="center" vertical="center"/>
    </xf>
    <xf numFmtId="0" fontId="5" fillId="0" borderId="2" xfId="0" applyFont="1" applyBorder="1" applyAlignment="1">
      <alignment horizontal="justify" vertical="center" wrapText="1"/>
    </xf>
    <xf numFmtId="14" fontId="5" fillId="0" borderId="2" xfId="0" applyNumberFormat="1" applyFont="1" applyBorder="1" applyAlignment="1">
      <alignment horizontal="center" vertical="center"/>
    </xf>
    <xf numFmtId="14" fontId="4" fillId="0" borderId="2" xfId="0" applyNumberFormat="1" applyFont="1" applyBorder="1" applyAlignment="1">
      <alignment horizontal="center" vertical="center"/>
    </xf>
    <xf numFmtId="0" fontId="4" fillId="2" borderId="2" xfId="0"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vertical="center"/>
    </xf>
    <xf numFmtId="0" fontId="4" fillId="0" borderId="2" xfId="0" applyFont="1" applyBorder="1" applyAlignment="1">
      <alignment horizontal="center" vertical="center" wrapText="1"/>
    </xf>
    <xf numFmtId="0" fontId="5" fillId="0" borderId="2" xfId="0" applyFont="1" applyBorder="1" applyAlignment="1">
      <alignment horizontal="center" vertical="center"/>
    </xf>
    <xf numFmtId="0" fontId="4" fillId="0" borderId="2" xfId="0" applyFont="1" applyBorder="1" applyAlignment="1">
      <alignment horizontal="justify" vertical="center" wrapText="1"/>
    </xf>
    <xf numFmtId="0" fontId="4" fillId="7" borderId="2" xfId="0" applyFont="1" applyFill="1" applyBorder="1" applyAlignment="1">
      <alignment horizontal="left" vertical="center" wrapText="1"/>
    </xf>
    <xf numFmtId="0" fontId="0" fillId="0" borderId="6" xfId="0" applyBorder="1"/>
    <xf numFmtId="0" fontId="0" fillId="0" borderId="7" xfId="0" applyBorder="1"/>
    <xf numFmtId="0" fontId="0" fillId="0" borderId="11" xfId="0" applyBorder="1"/>
    <xf numFmtId="0" fontId="0" fillId="0" borderId="12" xfId="0" applyBorder="1"/>
    <xf numFmtId="0" fontId="0" fillId="0" borderId="13" xfId="0" applyBorder="1"/>
    <xf numFmtId="0" fontId="4" fillId="2" borderId="14" xfId="0" applyFont="1" applyFill="1" applyBorder="1" applyAlignment="1">
      <alignment horizontal="center" vertical="center"/>
    </xf>
    <xf numFmtId="0" fontId="4" fillId="0" borderId="0" xfId="0" applyFont="1" applyAlignment="1">
      <alignment horizontal="left" vertical="center"/>
    </xf>
    <xf numFmtId="0" fontId="0" fillId="0" borderId="9" xfId="0" applyBorder="1"/>
    <xf numFmtId="0" fontId="0" fillId="0" borderId="10" xfId="0" applyBorder="1"/>
    <xf numFmtId="0" fontId="5" fillId="0" borderId="3" xfId="0" applyFont="1" applyBorder="1" applyAlignment="1">
      <alignment horizontal="justify" vertical="center" wrapText="1"/>
    </xf>
    <xf numFmtId="0" fontId="4" fillId="0" borderId="2" xfId="0" applyFont="1" applyBorder="1" applyAlignment="1">
      <alignment horizontal="center" vertical="center"/>
    </xf>
    <xf numFmtId="0" fontId="6" fillId="7" borderId="2" xfId="1" applyFont="1" applyFill="1" applyBorder="1" applyAlignment="1">
      <alignment horizontal="left" vertical="center" wrapText="1"/>
    </xf>
    <xf numFmtId="0" fontId="2" fillId="0" borderId="2" xfId="1" applyFont="1" applyBorder="1" applyAlignment="1">
      <alignment horizontal="left" vertical="center"/>
    </xf>
    <xf numFmtId="0" fontId="2" fillId="2" borderId="2" xfId="0" applyFont="1" applyFill="1" applyBorder="1" applyAlignment="1">
      <alignment horizontal="center" vertical="center" wrapText="1"/>
    </xf>
    <xf numFmtId="0" fontId="5" fillId="7" borderId="2" xfId="1" applyFont="1" applyFill="1" applyBorder="1" applyAlignment="1">
      <alignment horizontal="justify" vertical="center" wrapText="1"/>
    </xf>
    <xf numFmtId="0" fontId="3" fillId="0" borderId="0" xfId="1" applyFont="1" applyAlignment="1">
      <alignment vertical="center"/>
    </xf>
    <xf numFmtId="0" fontId="2" fillId="0" borderId="2" xfId="1" applyFont="1" applyBorder="1" applyAlignment="1">
      <alignment horizontal="center" vertical="center"/>
    </xf>
    <xf numFmtId="0" fontId="2" fillId="2" borderId="2" xfId="1" applyFont="1" applyFill="1" applyBorder="1" applyAlignment="1">
      <alignment horizontal="center" vertical="center"/>
    </xf>
    <xf numFmtId="0" fontId="4" fillId="7" borderId="2" xfId="1" applyFont="1" applyFill="1" applyBorder="1" applyAlignment="1" applyProtection="1">
      <alignment horizontal="justify" vertical="center" wrapText="1"/>
      <protection locked="0"/>
    </xf>
    <xf numFmtId="0" fontId="0" fillId="0" borderId="8" xfId="0" applyBorder="1" applyProtection="1">
      <protection locked="0"/>
    </xf>
    <xf numFmtId="0" fontId="0" fillId="0" borderId="4" xfId="0" applyBorder="1" applyProtection="1">
      <protection locked="0"/>
    </xf>
    <xf numFmtId="0" fontId="0" fillId="0" borderId="15" xfId="0" applyBorder="1"/>
    <xf numFmtId="0" fontId="0" fillId="0" borderId="5" xfId="0" applyBorder="1"/>
    <xf numFmtId="0" fontId="8" fillId="7" borderId="0" xfId="0" applyFont="1" applyFill="1" applyAlignment="1">
      <alignment horizontal="center"/>
    </xf>
    <xf numFmtId="0" fontId="0" fillId="0" borderId="0" xfId="0"/>
  </cellXfs>
  <cellStyles count="2">
    <cellStyle name="Normal" xfId="0" builtinId="0"/>
    <cellStyle name="Normal 2 2 2" xfId="1" xr:uid="{00000000-0005-0000-0000-000001000000}"/>
  </cellStyles>
  <dxfs count="6">
    <dxf>
      <fill>
        <patternFill>
          <bgColor rgb="FFFF0000"/>
        </patternFill>
      </fill>
    </dxf>
    <dxf>
      <fill>
        <patternFill>
          <bgColor rgb="FFFF6600"/>
        </patternFill>
      </fill>
    </dxf>
    <dxf>
      <fill>
        <patternFill>
          <bgColor rgb="FFFFFF00"/>
        </patternFill>
      </fill>
    </dxf>
    <dxf>
      <fill>
        <patternFill>
          <bgColor rgb="FFC00000"/>
        </patternFill>
      </fill>
    </dxf>
    <dxf>
      <fill>
        <patternFill>
          <bgColor theme="9" tint="-0.24994659260841701"/>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870856</xdr:colOff>
      <xdr:row>1</xdr:row>
      <xdr:rowOff>136071</xdr:rowOff>
    </xdr:from>
    <xdr:to>
      <xdr:col>2</xdr:col>
      <xdr:colOff>2880018</xdr:colOff>
      <xdr:row>3</xdr:row>
      <xdr:rowOff>258536</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rcRect b="3664"/>
        <a:stretch>
          <a:fillRect/>
        </a:stretch>
      </xdr:blipFill>
      <xdr:spPr bwMode="auto">
        <a:xfrm>
          <a:off x="1387927" y="340178"/>
          <a:ext cx="2009162" cy="1074965"/>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123825</xdr:rowOff>
    </xdr:from>
    <xdr:to>
      <xdr:col>11</xdr:col>
      <xdr:colOff>334570</xdr:colOff>
      <xdr:row>8</xdr:row>
      <xdr:rowOff>57353</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52400" y="123825"/>
          <a:ext cx="8564170" cy="1457528"/>
        </a:xfrm>
        <a:prstGeom prst="rect">
          <a:avLst/>
        </a:prstGeom>
        <a:ln>
          <a:prstDash val="solid"/>
        </a:ln>
      </xdr:spPr>
    </xdr:pic>
    <xdr:clientData/>
  </xdr:twoCellAnchor>
  <xdr:twoCellAnchor editAs="oneCell">
    <xdr:from>
      <xdr:col>1</xdr:col>
      <xdr:colOff>0</xdr:colOff>
      <xdr:row>10</xdr:row>
      <xdr:rowOff>0</xdr:rowOff>
    </xdr:from>
    <xdr:to>
      <xdr:col>5</xdr:col>
      <xdr:colOff>673100</xdr:colOff>
      <xdr:row>39</xdr:row>
      <xdr:rowOff>50800</xdr:rowOff>
    </xdr:to>
    <xdr:pic>
      <xdr:nvPicPr>
        <xdr:cNvPr id="2" name="Imagen 1">
          <a:extLst>
            <a:ext uri="{FF2B5EF4-FFF2-40B4-BE49-F238E27FC236}">
              <a16:creationId xmlns:a16="http://schemas.microsoft.com/office/drawing/2014/main" id="{EA88D114-F270-4715-AA76-FE80659D937B}"/>
            </a:ext>
          </a:extLst>
        </xdr:cNvPr>
        <xdr:cNvPicPr>
          <a:picLocks noChangeAspect="1"/>
        </xdr:cNvPicPr>
      </xdr:nvPicPr>
      <xdr:blipFill>
        <a:blip xmlns:r="http://schemas.openxmlformats.org/officeDocument/2006/relationships" r:embed="rId2"/>
        <a:stretch>
          <a:fillRect/>
        </a:stretch>
      </xdr:blipFill>
      <xdr:spPr>
        <a:xfrm>
          <a:off x="825500" y="1905000"/>
          <a:ext cx="3975100" cy="55753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minagricultura.gov.co/Users/kmurcia/AppData/Local/Microsoft/Windows/Temporary%20Internet%20Files/Content.Outlook/PRY0NCWC/Cambio%20Admon%20Plataforma%20No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RFC"/>
      <sheetName val="RFC"/>
      <sheetName val="Matriz impacto-riesgo"/>
      <sheetName val="Instructivo Matriz"/>
    </sheetNames>
    <sheetDataSet>
      <sheetData sheetId="0"/>
      <sheetData sheetId="1"/>
      <sheetData sheetId="2">
        <row r="4">
          <cell r="R4" t="str">
            <v>0 veces</v>
          </cell>
        </row>
        <row r="5">
          <cell r="R5" t="str">
            <v>1-2 veces</v>
          </cell>
        </row>
        <row r="6">
          <cell r="R6" t="str">
            <v>3 o más veces</v>
          </cell>
        </row>
        <row r="7">
          <cell r="R7" t="str">
            <v>Alto</v>
          </cell>
        </row>
        <row r="8">
          <cell r="R8" t="str">
            <v>Bajo</v>
          </cell>
        </row>
        <row r="9">
          <cell r="R9" t="str">
            <v>Medio</v>
          </cell>
        </row>
        <row r="10">
          <cell r="R10" t="str">
            <v>Alta</v>
          </cell>
        </row>
        <row r="11">
          <cell r="R11" t="str">
            <v>Media</v>
          </cell>
        </row>
        <row r="12">
          <cell r="R12" t="str">
            <v>Baja</v>
          </cell>
        </row>
        <row r="13">
          <cell r="R13" t="str">
            <v>Total usuarios</v>
          </cell>
        </row>
        <row r="14">
          <cell r="R14" t="str">
            <v>Área(s) específica(s)</v>
          </cell>
        </row>
        <row r="15">
          <cell r="R15" t="str">
            <v>Ninguno</v>
          </cell>
        </row>
        <row r="16">
          <cell r="R16" t="str">
            <v>Si</v>
          </cell>
        </row>
        <row r="17">
          <cell r="R17" t="str">
            <v>No</v>
          </cell>
        </row>
        <row r="18">
          <cell r="R18" t="str">
            <v>Sanciones, Multas</v>
          </cell>
        </row>
        <row r="19">
          <cell r="R19" t="str">
            <v>Afectación Servicio</v>
          </cell>
        </row>
        <row r="20">
          <cell r="R20" t="str">
            <v>Otros</v>
          </cell>
        </row>
        <row r="21">
          <cell r="R21" t="str">
            <v>Ninguno</v>
          </cell>
        </row>
        <row r="22">
          <cell r="R22" t="str">
            <v>Entre 1 y 5</v>
          </cell>
        </row>
        <row r="23">
          <cell r="R23" t="str">
            <v>Entre 6 y 10</v>
          </cell>
        </row>
        <row r="24">
          <cell r="R24" t="str">
            <v>Total servicios</v>
          </cell>
        </row>
        <row r="25">
          <cell r="R25" t="str">
            <v>Ninguno</v>
          </cell>
        </row>
        <row r="26">
          <cell r="R26" t="str">
            <v>Entre 1 y 5</v>
          </cell>
        </row>
        <row r="27">
          <cell r="R27" t="str">
            <v>Entre 6 y 10</v>
          </cell>
        </row>
        <row r="28">
          <cell r="R28" t="str">
            <v>Total aplicativos</v>
          </cell>
        </row>
      </sheetData>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V59"/>
  <sheetViews>
    <sheetView showGridLines="0" zoomScale="70" zoomScaleNormal="70" workbookViewId="0">
      <selection activeCell="C24" sqref="C24"/>
    </sheetView>
  </sheetViews>
  <sheetFormatPr baseColWidth="10" defaultColWidth="11.5" defaultRowHeight="16" x14ac:dyDescent="0.2"/>
  <cols>
    <col min="1" max="1" width="3.5" style="12" customWidth="1"/>
    <col min="2" max="2" width="4.33203125" style="12" customWidth="1"/>
    <col min="3" max="3" width="47" style="12" bestFit="1" customWidth="1"/>
    <col min="4" max="4" width="30.33203125" style="12" bestFit="1" customWidth="1"/>
    <col min="5" max="5" width="28" style="12" customWidth="1"/>
    <col min="6" max="6" width="26.33203125" style="12" customWidth="1"/>
    <col min="7" max="7" width="15.5" style="12" customWidth="1"/>
    <col min="8" max="8" width="17.33203125" style="12" bestFit="1" customWidth="1"/>
    <col min="9" max="9" width="29.6640625" style="12" bestFit="1" customWidth="1"/>
    <col min="10" max="10" width="22.1640625" style="12" bestFit="1" customWidth="1"/>
    <col min="11" max="11" width="24.5" style="12" bestFit="1" customWidth="1"/>
    <col min="12" max="12" width="20.6640625" style="12" bestFit="1" customWidth="1"/>
    <col min="13" max="14" width="20.6640625" style="12" customWidth="1"/>
    <col min="15" max="15" width="22.5" style="12" customWidth="1"/>
    <col min="16" max="16" width="28.5" style="12" customWidth="1"/>
    <col min="17" max="21" width="11.5" style="12" customWidth="1"/>
    <col min="22" max="22" width="0" style="12" hidden="1"/>
    <col min="23" max="23" width="11.5" style="12" customWidth="1"/>
    <col min="24" max="16384" width="11.5" style="12"/>
  </cols>
  <sheetData>
    <row r="2" spans="2:22" ht="37.5" customHeight="1" x14ac:dyDescent="0.2">
      <c r="B2" s="67" t="s">
        <v>0</v>
      </c>
      <c r="C2" s="57"/>
      <c r="D2" s="57"/>
      <c r="E2" s="57"/>
      <c r="F2" s="57"/>
      <c r="G2" s="57"/>
      <c r="H2" s="57"/>
      <c r="I2" s="57"/>
      <c r="J2" s="57"/>
      <c r="K2" s="58"/>
      <c r="L2" s="41" t="s">
        <v>1</v>
      </c>
      <c r="M2" s="38"/>
      <c r="N2" s="38"/>
      <c r="O2" s="38"/>
      <c r="P2" s="39"/>
    </row>
    <row r="3" spans="2:22" ht="37.5" customHeight="1" x14ac:dyDescent="0.2">
      <c r="B3" s="64"/>
      <c r="C3" s="52"/>
      <c r="D3" s="52"/>
      <c r="E3" s="52"/>
      <c r="F3" s="52"/>
      <c r="G3" s="52"/>
      <c r="H3" s="52"/>
      <c r="I3" s="52"/>
      <c r="J3" s="52"/>
      <c r="K3" s="65"/>
      <c r="L3" s="37" t="s">
        <v>2</v>
      </c>
      <c r="M3" s="38"/>
      <c r="N3" s="38"/>
      <c r="O3" s="38"/>
      <c r="P3" s="39"/>
    </row>
    <row r="4" spans="2:22" ht="37.5" customHeight="1" x14ac:dyDescent="0.2">
      <c r="B4" s="59"/>
      <c r="C4" s="60"/>
      <c r="D4" s="60"/>
      <c r="E4" s="60"/>
      <c r="F4" s="60"/>
      <c r="G4" s="60"/>
      <c r="H4" s="60"/>
      <c r="I4" s="60"/>
      <c r="J4" s="60"/>
      <c r="K4" s="61"/>
      <c r="L4" s="42" t="s">
        <v>3</v>
      </c>
      <c r="M4" s="38"/>
      <c r="N4" s="38"/>
      <c r="O4" s="38"/>
      <c r="P4" s="39"/>
    </row>
    <row r="5" spans="2:22" x14ac:dyDescent="0.2">
      <c r="B5" s="41" t="s">
        <v>4</v>
      </c>
      <c r="C5" s="39"/>
      <c r="D5" s="48">
        <v>46248</v>
      </c>
      <c r="E5" s="38"/>
      <c r="F5" s="38"/>
      <c r="G5" s="38"/>
      <c r="H5" s="38"/>
      <c r="I5" s="39"/>
      <c r="J5" s="49" t="s">
        <v>5</v>
      </c>
      <c r="K5" s="39"/>
      <c r="L5" s="46"/>
      <c r="M5" s="38"/>
      <c r="N5" s="38"/>
      <c r="O5" s="38"/>
      <c r="P5" s="39"/>
      <c r="V5" s="12" t="s">
        <v>6</v>
      </c>
    </row>
    <row r="6" spans="2:22" x14ac:dyDescent="0.2">
      <c r="B6" s="41" t="s">
        <v>7</v>
      </c>
      <c r="C6" s="39"/>
      <c r="D6" s="49" t="s">
        <v>6</v>
      </c>
      <c r="E6" s="38"/>
      <c r="F6" s="38"/>
      <c r="G6" s="38"/>
      <c r="H6" s="38"/>
      <c r="I6" s="38"/>
      <c r="J6" s="38"/>
      <c r="K6" s="38"/>
      <c r="L6" s="38"/>
      <c r="M6" s="38"/>
      <c r="N6" s="38"/>
      <c r="O6" s="38"/>
      <c r="P6" s="39"/>
      <c r="V6" s="12" t="s">
        <v>8</v>
      </c>
    </row>
    <row r="7" spans="2:22" x14ac:dyDescent="0.2">
      <c r="B7" s="41" t="s">
        <v>9</v>
      </c>
      <c r="C7" s="39"/>
      <c r="D7" s="37" t="s">
        <v>10</v>
      </c>
      <c r="E7" s="38"/>
      <c r="F7" s="38"/>
      <c r="G7" s="38"/>
      <c r="H7" s="38"/>
      <c r="I7" s="38"/>
      <c r="J7" s="38"/>
      <c r="K7" s="38"/>
      <c r="L7" s="38"/>
      <c r="M7" s="38"/>
      <c r="N7" s="38"/>
      <c r="O7" s="38"/>
      <c r="P7" s="39"/>
      <c r="V7" s="12" t="s">
        <v>11</v>
      </c>
    </row>
    <row r="8" spans="2:22" x14ac:dyDescent="0.2">
      <c r="B8" s="42" t="s">
        <v>12</v>
      </c>
      <c r="C8" s="39"/>
      <c r="D8" s="40" t="s">
        <v>13</v>
      </c>
      <c r="E8" s="38"/>
      <c r="F8" s="38"/>
      <c r="G8" s="38"/>
      <c r="H8" s="38"/>
      <c r="I8" s="38"/>
      <c r="J8" s="38"/>
      <c r="K8" s="38"/>
      <c r="L8" s="38"/>
      <c r="M8" s="38"/>
      <c r="N8" s="38"/>
      <c r="O8" s="38"/>
      <c r="P8" s="39"/>
    </row>
    <row r="9" spans="2:22" ht="59.25" customHeight="1" x14ac:dyDescent="0.2">
      <c r="B9" s="41" t="s">
        <v>14</v>
      </c>
      <c r="C9" s="39"/>
      <c r="D9" s="47" t="s">
        <v>15</v>
      </c>
      <c r="E9" s="38"/>
      <c r="F9" s="38"/>
      <c r="G9" s="38"/>
      <c r="H9" s="38"/>
      <c r="I9" s="38"/>
      <c r="J9" s="38"/>
      <c r="K9" s="38"/>
      <c r="L9" s="38"/>
      <c r="M9" s="38"/>
      <c r="N9" s="38"/>
      <c r="O9" s="38"/>
      <c r="P9" s="39"/>
    </row>
    <row r="10" spans="2:22" x14ac:dyDescent="0.2">
      <c r="B10" s="41" t="s">
        <v>16</v>
      </c>
      <c r="C10" s="39"/>
      <c r="D10" s="37" t="s">
        <v>17</v>
      </c>
      <c r="E10" s="38"/>
      <c r="F10" s="38"/>
      <c r="G10" s="38"/>
      <c r="H10" s="38"/>
      <c r="I10" s="38"/>
      <c r="J10" s="38"/>
      <c r="K10" s="38"/>
      <c r="L10" s="38"/>
      <c r="M10" s="38"/>
      <c r="N10" s="38"/>
      <c r="O10" s="38"/>
      <c r="P10" s="39"/>
    </row>
    <row r="11" spans="2:22" x14ac:dyDescent="0.2">
      <c r="B11" s="41" t="s">
        <v>18</v>
      </c>
      <c r="C11" s="39"/>
      <c r="D11" s="37" t="s">
        <v>19</v>
      </c>
      <c r="E11" s="38"/>
      <c r="F11" s="38"/>
      <c r="G11" s="38"/>
      <c r="H11" s="38"/>
      <c r="I11" s="38"/>
      <c r="J11" s="38"/>
      <c r="K11" s="38"/>
      <c r="L11" s="38"/>
      <c r="M11" s="38"/>
      <c r="N11" s="38"/>
      <c r="O11" s="38"/>
      <c r="P11" s="39"/>
    </row>
    <row r="12" spans="2:22" ht="48" customHeight="1" x14ac:dyDescent="0.2">
      <c r="B12" s="55" t="s">
        <v>20</v>
      </c>
      <c r="C12" s="39"/>
      <c r="D12" s="37" t="s">
        <v>21</v>
      </c>
      <c r="E12" s="38"/>
      <c r="F12" s="38"/>
      <c r="G12" s="38"/>
      <c r="H12" s="38"/>
      <c r="I12" s="38"/>
      <c r="J12" s="38"/>
      <c r="K12" s="38"/>
      <c r="L12" s="38"/>
      <c r="M12" s="38"/>
      <c r="N12" s="38"/>
      <c r="O12" s="38"/>
      <c r="P12" s="39"/>
    </row>
    <row r="13" spans="2:22" x14ac:dyDescent="0.2">
      <c r="B13" s="42" t="s">
        <v>22</v>
      </c>
      <c r="C13" s="39"/>
      <c r="D13" s="40" t="s">
        <v>21</v>
      </c>
      <c r="E13" s="38"/>
      <c r="F13" s="38"/>
      <c r="G13" s="38"/>
      <c r="H13" s="38"/>
      <c r="I13" s="38"/>
      <c r="J13" s="38"/>
      <c r="K13" s="38"/>
      <c r="L13" s="38"/>
      <c r="M13" s="38"/>
      <c r="N13" s="38"/>
      <c r="O13" s="38"/>
      <c r="P13" s="39"/>
    </row>
    <row r="14" spans="2:22" x14ac:dyDescent="0.2">
      <c r="B14" s="41" t="s">
        <v>23</v>
      </c>
      <c r="C14" s="39"/>
      <c r="D14" s="40" t="s">
        <v>21</v>
      </c>
      <c r="E14" s="38"/>
      <c r="F14" s="38"/>
      <c r="G14" s="38"/>
      <c r="H14" s="38"/>
      <c r="I14" s="38"/>
      <c r="J14" s="38"/>
      <c r="K14" s="38"/>
      <c r="L14" s="38"/>
      <c r="M14" s="38"/>
      <c r="N14" s="38"/>
      <c r="O14" s="38"/>
      <c r="P14" s="39"/>
    </row>
    <row r="15" spans="2:22" ht="40.5" customHeight="1" x14ac:dyDescent="0.2">
      <c r="B15" s="42" t="s">
        <v>24</v>
      </c>
      <c r="C15" s="39"/>
      <c r="D15" s="53" t="s">
        <v>25</v>
      </c>
      <c r="E15" s="38"/>
      <c r="F15" s="38"/>
      <c r="G15" s="38"/>
      <c r="H15" s="38"/>
      <c r="I15" s="38"/>
      <c r="J15" s="38"/>
      <c r="K15" s="38"/>
      <c r="L15" s="38"/>
      <c r="M15" s="38"/>
      <c r="N15" s="38"/>
      <c r="O15" s="38"/>
      <c r="P15" s="39"/>
    </row>
    <row r="16" spans="2:22" x14ac:dyDescent="0.2">
      <c r="B16" s="41" t="s">
        <v>26</v>
      </c>
      <c r="C16" s="39"/>
      <c r="D16" s="37" t="s">
        <v>27</v>
      </c>
      <c r="E16" s="38"/>
      <c r="F16" s="38"/>
      <c r="G16" s="38"/>
      <c r="H16" s="38"/>
      <c r="I16" s="38"/>
      <c r="J16" s="38"/>
      <c r="K16" s="38"/>
      <c r="L16" s="38"/>
      <c r="M16" s="38"/>
      <c r="N16" s="38"/>
      <c r="O16" s="38"/>
      <c r="P16" s="39"/>
    </row>
    <row r="17" spans="2:16" ht="144" customHeight="1" x14ac:dyDescent="0.2">
      <c r="B17" s="41" t="s">
        <v>28</v>
      </c>
      <c r="C17" s="39"/>
      <c r="D17" s="47" t="s">
        <v>29</v>
      </c>
      <c r="E17" s="38"/>
      <c r="F17" s="38"/>
      <c r="G17" s="38"/>
      <c r="H17" s="39"/>
      <c r="I17" s="47" t="s">
        <v>30</v>
      </c>
      <c r="J17" s="39"/>
      <c r="K17" s="66" t="s">
        <v>31</v>
      </c>
      <c r="L17" s="38"/>
      <c r="M17" s="38"/>
      <c r="N17" s="40" t="s">
        <v>32</v>
      </c>
      <c r="O17" s="44"/>
      <c r="P17" s="45"/>
    </row>
    <row r="18" spans="2:16" x14ac:dyDescent="0.2">
      <c r="B18" s="41" t="s">
        <v>33</v>
      </c>
      <c r="C18" s="58"/>
      <c r="D18" s="41" t="s">
        <v>34</v>
      </c>
      <c r="E18" s="39"/>
      <c r="F18" s="37" t="s">
        <v>35</v>
      </c>
      <c r="G18" s="44"/>
      <c r="H18" s="44"/>
      <c r="I18" s="44"/>
      <c r="J18" s="44"/>
      <c r="K18" s="44"/>
      <c r="L18" s="44"/>
      <c r="M18" s="44"/>
      <c r="N18" s="44"/>
      <c r="O18" s="44"/>
      <c r="P18" s="45"/>
    </row>
    <row r="19" spans="2:16" x14ac:dyDescent="0.2">
      <c r="B19" s="64"/>
      <c r="C19" s="65"/>
      <c r="D19" s="41" t="s">
        <v>36</v>
      </c>
      <c r="E19" s="39"/>
      <c r="F19" s="37"/>
      <c r="G19" s="44"/>
      <c r="H19" s="44"/>
      <c r="I19" s="44"/>
      <c r="J19" s="44"/>
      <c r="K19" s="44"/>
      <c r="L19" s="44"/>
      <c r="M19" s="44"/>
      <c r="N19" s="44"/>
      <c r="O19" s="44"/>
      <c r="P19" s="45"/>
    </row>
    <row r="20" spans="2:16" x14ac:dyDescent="0.2">
      <c r="B20" s="64"/>
      <c r="C20" s="65"/>
      <c r="D20" s="41" t="s">
        <v>37</v>
      </c>
      <c r="E20" s="39"/>
      <c r="F20" s="37" t="s">
        <v>38</v>
      </c>
      <c r="G20" s="44"/>
      <c r="H20" s="44"/>
      <c r="I20" s="44"/>
      <c r="J20" s="44"/>
      <c r="K20" s="44"/>
      <c r="L20" s="44"/>
      <c r="M20" s="44"/>
      <c r="N20" s="44"/>
      <c r="O20" s="44"/>
      <c r="P20" s="45"/>
    </row>
    <row r="21" spans="2:16" x14ac:dyDescent="0.2">
      <c r="B21" s="64"/>
      <c r="C21" s="65"/>
      <c r="D21" s="42" t="s">
        <v>39</v>
      </c>
      <c r="E21" s="39"/>
      <c r="F21" s="37" t="s">
        <v>40</v>
      </c>
      <c r="G21" s="44"/>
      <c r="H21" s="44"/>
      <c r="I21" s="44"/>
      <c r="J21" s="44"/>
      <c r="K21" s="44"/>
      <c r="L21" s="44"/>
      <c r="M21" s="44"/>
      <c r="N21" s="44"/>
      <c r="O21" s="44"/>
      <c r="P21" s="45"/>
    </row>
    <row r="22" spans="2:16" x14ac:dyDescent="0.2">
      <c r="B22" s="59"/>
      <c r="C22" s="61"/>
      <c r="D22" s="42" t="s">
        <v>41</v>
      </c>
      <c r="E22" s="39"/>
      <c r="F22" s="37" t="s">
        <v>42</v>
      </c>
      <c r="G22" s="44"/>
      <c r="H22" s="44"/>
      <c r="I22" s="44"/>
      <c r="J22" s="44"/>
      <c r="K22" s="44"/>
      <c r="L22" s="44"/>
      <c r="M22" s="44"/>
      <c r="N22" s="44"/>
      <c r="O22" s="44"/>
      <c r="P22" s="45"/>
    </row>
    <row r="23" spans="2:16" x14ac:dyDescent="0.2">
      <c r="B23" s="53" t="s">
        <v>43</v>
      </c>
      <c r="C23" s="38"/>
      <c r="D23" s="38"/>
      <c r="E23" s="38"/>
      <c r="F23" s="38"/>
      <c r="G23" s="38"/>
      <c r="H23" s="38"/>
      <c r="I23" s="38"/>
      <c r="J23" s="38"/>
      <c r="K23" s="38"/>
      <c r="L23" s="38"/>
      <c r="M23" s="38"/>
      <c r="N23" s="38"/>
      <c r="O23" s="38"/>
      <c r="P23" s="39"/>
    </row>
    <row r="24" spans="2:16" s="14" customFormat="1" ht="63" customHeight="1" x14ac:dyDescent="0.2">
      <c r="B24" s="13" t="s">
        <v>44</v>
      </c>
      <c r="C24" s="13" t="s">
        <v>45</v>
      </c>
      <c r="D24" s="13" t="s">
        <v>46</v>
      </c>
      <c r="E24" s="13" t="s">
        <v>47</v>
      </c>
      <c r="F24" s="13" t="s">
        <v>48</v>
      </c>
      <c r="G24" s="13" t="s">
        <v>49</v>
      </c>
      <c r="H24" s="13" t="s">
        <v>50</v>
      </c>
      <c r="I24" s="13" t="s">
        <v>51</v>
      </c>
      <c r="J24" s="13" t="s">
        <v>52</v>
      </c>
      <c r="K24" s="13" t="s">
        <v>53</v>
      </c>
      <c r="L24" s="13" t="s">
        <v>54</v>
      </c>
      <c r="M24" s="13" t="s">
        <v>55</v>
      </c>
      <c r="N24" s="13" t="s">
        <v>56</v>
      </c>
      <c r="O24" s="13" t="s">
        <v>57</v>
      </c>
      <c r="P24" s="13" t="s">
        <v>58</v>
      </c>
    </row>
    <row r="25" spans="2:16" s="14" customFormat="1" ht="63" customHeight="1" x14ac:dyDescent="0.2">
      <c r="B25" s="23">
        <v>1</v>
      </c>
      <c r="C25" s="24" t="s">
        <v>59</v>
      </c>
      <c r="D25" s="23"/>
      <c r="E25" s="23"/>
      <c r="F25" s="36">
        <v>6.9444444444444441E-3</v>
      </c>
      <c r="G25" s="23" t="s">
        <v>21</v>
      </c>
      <c r="H25" s="23" t="s">
        <v>21</v>
      </c>
      <c r="I25" s="23" t="s">
        <v>21</v>
      </c>
      <c r="J25" s="23" t="s">
        <v>21</v>
      </c>
      <c r="K25" s="23" t="s">
        <v>21</v>
      </c>
      <c r="L25" s="23" t="s">
        <v>21</v>
      </c>
      <c r="M25" s="23" t="s">
        <v>21</v>
      </c>
      <c r="N25" s="20" t="s">
        <v>60</v>
      </c>
      <c r="O25" s="20" t="s">
        <v>21</v>
      </c>
      <c r="P25" s="24" t="s">
        <v>61</v>
      </c>
    </row>
    <row r="26" spans="2:16" s="14" customFormat="1" ht="31.5" customHeight="1" x14ac:dyDescent="0.2">
      <c r="B26" s="23">
        <v>2</v>
      </c>
      <c r="C26" s="24" t="s">
        <v>62</v>
      </c>
      <c r="D26" s="23"/>
      <c r="E26" s="23"/>
      <c r="F26" s="36">
        <v>2.0833333333333329E-2</v>
      </c>
      <c r="G26" s="23" t="s">
        <v>21</v>
      </c>
      <c r="H26" s="23" t="s">
        <v>21</v>
      </c>
      <c r="I26" s="23" t="s">
        <v>21</v>
      </c>
      <c r="J26" s="23" t="s">
        <v>21</v>
      </c>
      <c r="K26" s="23" t="s">
        <v>21</v>
      </c>
      <c r="L26" s="23" t="s">
        <v>21</v>
      </c>
      <c r="M26" s="23" t="s">
        <v>21</v>
      </c>
      <c r="N26" s="23" t="s">
        <v>21</v>
      </c>
      <c r="O26" s="20" t="s">
        <v>60</v>
      </c>
      <c r="P26" s="26" t="s">
        <v>63</v>
      </c>
    </row>
    <row r="27" spans="2:16" ht="159" customHeight="1" x14ac:dyDescent="0.2">
      <c r="B27" s="23">
        <v>3</v>
      </c>
      <c r="C27" s="24" t="s">
        <v>64</v>
      </c>
      <c r="D27" s="29"/>
      <c r="E27" s="29"/>
      <c r="F27" s="25">
        <v>0</v>
      </c>
      <c r="G27" s="23" t="s">
        <v>21</v>
      </c>
      <c r="H27" s="23" t="s">
        <v>65</v>
      </c>
      <c r="I27" s="23" t="s">
        <v>21</v>
      </c>
      <c r="J27" s="23" t="s">
        <v>21</v>
      </c>
      <c r="K27" s="23" t="s">
        <v>21</v>
      </c>
      <c r="L27" s="23" t="s">
        <v>21</v>
      </c>
      <c r="M27" s="23" t="s">
        <v>21</v>
      </c>
      <c r="N27" s="23" t="s">
        <v>21</v>
      </c>
      <c r="O27" s="20" t="s">
        <v>21</v>
      </c>
      <c r="P27" s="24" t="s">
        <v>66</v>
      </c>
    </row>
    <row r="28" spans="2:16" ht="126" customHeight="1" x14ac:dyDescent="0.2">
      <c r="B28" s="23">
        <v>4</v>
      </c>
      <c r="C28" s="24" t="s">
        <v>67</v>
      </c>
      <c r="D28" s="29"/>
      <c r="E28" s="29"/>
      <c r="F28" s="25">
        <v>8.3333333333333329E-2</v>
      </c>
      <c r="G28" s="23" t="s">
        <v>21</v>
      </c>
      <c r="H28" s="23" t="s">
        <v>21</v>
      </c>
      <c r="I28" s="23" t="s">
        <v>60</v>
      </c>
      <c r="J28" s="23" t="s">
        <v>21</v>
      </c>
      <c r="K28" s="23" t="s">
        <v>21</v>
      </c>
      <c r="L28" s="23" t="s">
        <v>21</v>
      </c>
      <c r="M28" s="23" t="s">
        <v>21</v>
      </c>
      <c r="N28" s="23" t="s">
        <v>21</v>
      </c>
      <c r="O28" s="20" t="s">
        <v>21</v>
      </c>
      <c r="P28" s="26"/>
    </row>
    <row r="29" spans="2:16" ht="110.25" customHeight="1" x14ac:dyDescent="0.2">
      <c r="B29" s="23">
        <v>5</v>
      </c>
      <c r="C29" s="24" t="s">
        <v>68</v>
      </c>
      <c r="D29" s="29"/>
      <c r="E29" s="29"/>
      <c r="F29" s="25">
        <v>4.1666666666666657E-2</v>
      </c>
      <c r="G29" s="23" t="s">
        <v>21</v>
      </c>
      <c r="H29" s="23" t="s">
        <v>21</v>
      </c>
      <c r="I29" s="23" t="s">
        <v>60</v>
      </c>
      <c r="J29" s="23" t="s">
        <v>21</v>
      </c>
      <c r="K29" s="23" t="s">
        <v>21</v>
      </c>
      <c r="L29" s="23" t="s">
        <v>21</v>
      </c>
      <c r="M29" s="23" t="s">
        <v>21</v>
      </c>
      <c r="N29" s="23" t="s">
        <v>21</v>
      </c>
      <c r="O29" s="20" t="s">
        <v>21</v>
      </c>
      <c r="P29" s="24"/>
    </row>
    <row r="30" spans="2:16" ht="94.5" customHeight="1" x14ac:dyDescent="0.2">
      <c r="B30" s="23">
        <v>6</v>
      </c>
      <c r="C30" s="24" t="s">
        <v>69</v>
      </c>
      <c r="D30" s="29"/>
      <c r="E30" s="29"/>
      <c r="F30" s="25">
        <v>4.1666666666666657E-2</v>
      </c>
      <c r="G30" s="23" t="s">
        <v>21</v>
      </c>
      <c r="H30" s="23" t="s">
        <v>21</v>
      </c>
      <c r="I30" s="23" t="s">
        <v>21</v>
      </c>
      <c r="J30" s="23" t="s">
        <v>70</v>
      </c>
      <c r="K30" s="23" t="s">
        <v>60</v>
      </c>
      <c r="L30" s="23" t="s">
        <v>21</v>
      </c>
      <c r="M30" s="23" t="s">
        <v>21</v>
      </c>
      <c r="N30" s="23" t="s">
        <v>21</v>
      </c>
      <c r="O30" s="20" t="s">
        <v>21</v>
      </c>
      <c r="P30" s="24"/>
    </row>
    <row r="31" spans="2:16" ht="94.5" customHeight="1" x14ac:dyDescent="0.2">
      <c r="B31" s="23">
        <v>7</v>
      </c>
      <c r="C31" s="24" t="s">
        <v>71</v>
      </c>
      <c r="D31" s="29"/>
      <c r="E31" s="29"/>
      <c r="F31" s="25">
        <v>2.0833333333333329E-2</v>
      </c>
      <c r="G31" s="23" t="s">
        <v>21</v>
      </c>
      <c r="H31" s="23" t="s">
        <v>21</v>
      </c>
      <c r="I31" s="23" t="s">
        <v>21</v>
      </c>
      <c r="J31" s="23" t="s">
        <v>21</v>
      </c>
      <c r="K31" s="23" t="s">
        <v>21</v>
      </c>
      <c r="L31" s="23" t="s">
        <v>60</v>
      </c>
      <c r="M31" s="23" t="s">
        <v>21</v>
      </c>
      <c r="N31" s="23" t="s">
        <v>21</v>
      </c>
      <c r="O31" s="20" t="s">
        <v>72</v>
      </c>
      <c r="P31" s="26"/>
    </row>
    <row r="32" spans="2:16" ht="157.5" customHeight="1" x14ac:dyDescent="0.2">
      <c r="B32" s="23">
        <v>8</v>
      </c>
      <c r="C32" s="24" t="s">
        <v>73</v>
      </c>
      <c r="D32" s="29"/>
      <c r="E32" s="29"/>
      <c r="F32" s="25">
        <v>0.125</v>
      </c>
      <c r="G32" s="23" t="s">
        <v>21</v>
      </c>
      <c r="H32" s="23" t="s">
        <v>21</v>
      </c>
      <c r="I32" s="23" t="s">
        <v>72</v>
      </c>
      <c r="J32" s="23" t="s">
        <v>21</v>
      </c>
      <c r="K32" s="23" t="s">
        <v>21</v>
      </c>
      <c r="L32" s="23" t="s">
        <v>21</v>
      </c>
      <c r="M32" s="23" t="s">
        <v>21</v>
      </c>
      <c r="N32" s="23" t="s">
        <v>21</v>
      </c>
      <c r="O32" s="20" t="s">
        <v>60</v>
      </c>
      <c r="P32" s="26"/>
    </row>
    <row r="33" spans="2:16" ht="110.25" customHeight="1" x14ac:dyDescent="0.2">
      <c r="B33" s="23">
        <v>9</v>
      </c>
      <c r="C33" s="24" t="s">
        <v>74</v>
      </c>
      <c r="D33" s="29"/>
      <c r="E33" s="29"/>
      <c r="F33" s="25">
        <v>4.1666666666666657E-2</v>
      </c>
      <c r="G33" s="23" t="s">
        <v>21</v>
      </c>
      <c r="H33" s="23" t="s">
        <v>21</v>
      </c>
      <c r="I33" s="23" t="s">
        <v>21</v>
      </c>
      <c r="J33" s="23" t="s">
        <v>21</v>
      </c>
      <c r="K33" s="23" t="s">
        <v>21</v>
      </c>
      <c r="L33" s="23" t="s">
        <v>21</v>
      </c>
      <c r="M33" s="23" t="s">
        <v>21</v>
      </c>
      <c r="N33" s="23" t="s">
        <v>21</v>
      </c>
      <c r="O33" s="20" t="s">
        <v>60</v>
      </c>
      <c r="P33" s="26"/>
    </row>
    <row r="34" spans="2:16" ht="126" customHeight="1" x14ac:dyDescent="0.2">
      <c r="B34" s="23">
        <v>10</v>
      </c>
      <c r="C34" s="24" t="s">
        <v>75</v>
      </c>
      <c r="D34" s="29"/>
      <c r="E34" s="29"/>
      <c r="F34" s="25">
        <v>4.1666666666666657E-2</v>
      </c>
      <c r="G34" s="23" t="s">
        <v>21</v>
      </c>
      <c r="H34" s="23" t="s">
        <v>21</v>
      </c>
      <c r="I34" s="23" t="s">
        <v>21</v>
      </c>
      <c r="J34" s="23" t="s">
        <v>21</v>
      </c>
      <c r="K34" s="23" t="s">
        <v>72</v>
      </c>
      <c r="L34" s="23" t="s">
        <v>72</v>
      </c>
      <c r="M34" s="23" t="s">
        <v>21</v>
      </c>
      <c r="N34" s="23" t="s">
        <v>21</v>
      </c>
      <c r="O34" s="20" t="s">
        <v>60</v>
      </c>
      <c r="P34" s="26"/>
    </row>
    <row r="35" spans="2:16" ht="126" customHeight="1" x14ac:dyDescent="0.2">
      <c r="B35" s="23">
        <v>11</v>
      </c>
      <c r="C35" s="24" t="s">
        <v>76</v>
      </c>
      <c r="D35" s="29"/>
      <c r="E35" s="29"/>
      <c r="F35" s="25">
        <v>2.0833333333333329E-2</v>
      </c>
      <c r="G35" s="23" t="s">
        <v>65</v>
      </c>
      <c r="H35" s="23" t="s">
        <v>65</v>
      </c>
      <c r="I35" s="23" t="s">
        <v>21</v>
      </c>
      <c r="J35" s="23" t="s">
        <v>21</v>
      </c>
      <c r="K35" s="23" t="s">
        <v>21</v>
      </c>
      <c r="L35" s="23" t="s">
        <v>21</v>
      </c>
      <c r="M35" s="23" t="s">
        <v>21</v>
      </c>
      <c r="N35" s="23" t="s">
        <v>72</v>
      </c>
      <c r="O35" s="20" t="s">
        <v>21</v>
      </c>
      <c r="P35" s="24" t="s">
        <v>77</v>
      </c>
    </row>
    <row r="36" spans="2:16" ht="141.75" customHeight="1" x14ac:dyDescent="0.2">
      <c r="B36" s="23">
        <v>12</v>
      </c>
      <c r="C36" s="24" t="s">
        <v>78</v>
      </c>
      <c r="D36" s="29"/>
      <c r="E36" s="29"/>
      <c r="F36" s="25">
        <v>6.9444444444444441E-3</v>
      </c>
      <c r="G36" s="23" t="s">
        <v>21</v>
      </c>
      <c r="H36" s="23" t="s">
        <v>21</v>
      </c>
      <c r="I36" s="23" t="s">
        <v>21</v>
      </c>
      <c r="J36" s="23" t="s">
        <v>21</v>
      </c>
      <c r="K36" s="23" t="s">
        <v>21</v>
      </c>
      <c r="L36" s="23" t="s">
        <v>21</v>
      </c>
      <c r="M36" s="23" t="s">
        <v>21</v>
      </c>
      <c r="N36" s="23" t="s">
        <v>60</v>
      </c>
      <c r="O36" s="20" t="s">
        <v>21</v>
      </c>
      <c r="P36" s="26"/>
    </row>
    <row r="37" spans="2:16" ht="110.25" customHeight="1" x14ac:dyDescent="0.2">
      <c r="B37" s="23"/>
      <c r="C37" s="34"/>
      <c r="D37" s="29"/>
      <c r="E37" s="29"/>
      <c r="F37" s="25"/>
      <c r="G37" s="23"/>
      <c r="H37" s="23"/>
      <c r="I37" s="23"/>
      <c r="J37" s="23"/>
      <c r="K37" s="30"/>
      <c r="L37" s="30"/>
      <c r="M37" s="30"/>
      <c r="N37" s="23"/>
      <c r="O37" s="20"/>
      <c r="P37" s="26"/>
    </row>
    <row r="38" spans="2:16" ht="110.25" customHeight="1" x14ac:dyDescent="0.2">
      <c r="B38" s="23"/>
      <c r="C38" s="34"/>
      <c r="D38" s="29"/>
      <c r="E38" s="29"/>
      <c r="F38" s="25"/>
      <c r="G38" s="23"/>
      <c r="H38" s="23"/>
      <c r="I38" s="23"/>
      <c r="J38" s="23"/>
      <c r="K38" s="30"/>
      <c r="L38" s="30"/>
      <c r="M38" s="30"/>
      <c r="N38" s="23"/>
      <c r="O38" s="20"/>
      <c r="P38" s="26"/>
    </row>
    <row r="39" spans="2:16" ht="110.25" customHeight="1" x14ac:dyDescent="0.2">
      <c r="B39" s="23"/>
      <c r="C39" s="34"/>
      <c r="D39" s="29"/>
      <c r="E39" s="29"/>
      <c r="F39" s="25"/>
      <c r="G39" s="23"/>
      <c r="H39" s="23"/>
      <c r="I39" s="23"/>
      <c r="J39" s="23"/>
      <c r="K39" s="30"/>
      <c r="L39" s="30"/>
      <c r="M39" s="30"/>
      <c r="N39" s="23"/>
      <c r="O39" s="20"/>
      <c r="P39" s="24"/>
    </row>
    <row r="40" spans="2:16" ht="110.25" customHeight="1" x14ac:dyDescent="0.2">
      <c r="B40" s="23"/>
      <c r="C40" s="34"/>
      <c r="D40" s="29"/>
      <c r="E40" s="29"/>
      <c r="F40" s="25"/>
      <c r="G40" s="23"/>
      <c r="H40" s="23"/>
      <c r="I40" s="23"/>
      <c r="J40" s="23"/>
      <c r="K40" s="30"/>
      <c r="L40" s="30"/>
      <c r="M40" s="30"/>
      <c r="N40" s="23"/>
      <c r="O40" s="20"/>
      <c r="P40" s="26"/>
    </row>
    <row r="41" spans="2:16" ht="110.25" customHeight="1" x14ac:dyDescent="0.2">
      <c r="B41" s="23"/>
      <c r="C41" s="34"/>
      <c r="D41" s="29"/>
      <c r="E41" s="29"/>
      <c r="F41" s="25"/>
      <c r="G41" s="23"/>
      <c r="H41" s="23"/>
      <c r="I41" s="23"/>
      <c r="J41" s="23"/>
      <c r="K41" s="30"/>
      <c r="L41" s="30"/>
      <c r="M41" s="30"/>
      <c r="N41" s="23"/>
      <c r="O41" s="20"/>
      <c r="P41" s="26"/>
    </row>
    <row r="42" spans="2:16" ht="94.5" customHeight="1" x14ac:dyDescent="0.2">
      <c r="B42" s="23"/>
      <c r="C42" s="34"/>
      <c r="D42" s="29"/>
      <c r="E42" s="29"/>
      <c r="F42" s="25"/>
      <c r="G42" s="23"/>
      <c r="H42" s="23"/>
      <c r="I42" s="23"/>
      <c r="J42" s="23"/>
      <c r="K42" s="30"/>
      <c r="L42" s="30"/>
      <c r="M42" s="30"/>
      <c r="N42" s="23"/>
      <c r="O42" s="20"/>
      <c r="P42" s="26"/>
    </row>
    <row r="43" spans="2:16" ht="94.5" customHeight="1" x14ac:dyDescent="0.2">
      <c r="B43" s="23"/>
      <c r="C43" s="34"/>
      <c r="D43" s="29"/>
      <c r="E43" s="29"/>
      <c r="F43" s="25"/>
      <c r="G43" s="23"/>
      <c r="H43" s="23"/>
      <c r="I43" s="23"/>
      <c r="J43" s="23"/>
      <c r="K43" s="30"/>
      <c r="L43" s="30"/>
      <c r="M43" s="30"/>
      <c r="N43" s="23"/>
      <c r="O43" s="20"/>
      <c r="P43" s="26"/>
    </row>
    <row r="44" spans="2:16" ht="141.75" customHeight="1" x14ac:dyDescent="0.2">
      <c r="B44" s="23"/>
      <c r="C44" s="34"/>
      <c r="D44" s="29"/>
      <c r="E44" s="29"/>
      <c r="F44" s="25"/>
      <c r="G44" s="23"/>
      <c r="H44" s="23"/>
      <c r="I44" s="23"/>
      <c r="J44" s="23"/>
      <c r="K44" s="30"/>
      <c r="L44" s="30"/>
      <c r="M44" s="30"/>
      <c r="N44" s="23"/>
      <c r="O44" s="20"/>
      <c r="P44" s="26"/>
    </row>
    <row r="45" spans="2:16" ht="94.5" customHeight="1" x14ac:dyDescent="0.2">
      <c r="B45" s="23"/>
      <c r="C45" s="34"/>
      <c r="D45" s="29"/>
      <c r="E45" s="29"/>
      <c r="F45" s="25"/>
      <c r="G45" s="23"/>
      <c r="H45" s="23"/>
      <c r="I45" s="23"/>
      <c r="J45" s="23"/>
      <c r="K45" s="30"/>
      <c r="L45" s="30"/>
      <c r="M45" s="30"/>
      <c r="N45" s="23"/>
      <c r="O45" s="20"/>
      <c r="P45" s="26"/>
    </row>
    <row r="46" spans="2:16" ht="94.5" customHeight="1" x14ac:dyDescent="0.2">
      <c r="B46" s="23"/>
      <c r="C46" s="34"/>
      <c r="D46" s="29"/>
      <c r="E46" s="29"/>
      <c r="F46" s="25"/>
      <c r="G46" s="23"/>
      <c r="H46" s="23"/>
      <c r="I46" s="23"/>
      <c r="J46" s="23"/>
      <c r="K46" s="30"/>
      <c r="L46" s="30"/>
      <c r="M46" s="30"/>
      <c r="N46" s="23"/>
      <c r="O46" s="20"/>
      <c r="P46" s="26"/>
    </row>
    <row r="47" spans="2:16" ht="113.25" customHeight="1" x14ac:dyDescent="0.2">
      <c r="B47" s="23"/>
      <c r="C47" s="34"/>
      <c r="D47" s="29"/>
      <c r="E47" s="29"/>
      <c r="F47" s="25"/>
      <c r="G47" s="23"/>
      <c r="H47" s="23"/>
      <c r="I47" s="23"/>
      <c r="J47" s="23"/>
      <c r="K47" s="30"/>
      <c r="L47" s="30"/>
      <c r="M47" s="30"/>
      <c r="N47" s="23"/>
      <c r="O47" s="20"/>
      <c r="P47" s="26"/>
    </row>
    <row r="48" spans="2:16" ht="140.25" customHeight="1" x14ac:dyDescent="0.2">
      <c r="B48" s="23"/>
      <c r="C48" s="34"/>
      <c r="D48" s="29"/>
      <c r="E48" s="29"/>
      <c r="F48" s="25"/>
      <c r="G48" s="23"/>
      <c r="H48" s="23"/>
      <c r="I48" s="23"/>
      <c r="J48" s="23"/>
      <c r="K48" s="30"/>
      <c r="L48" s="30"/>
      <c r="M48" s="30"/>
      <c r="N48" s="23"/>
      <c r="O48" s="20"/>
      <c r="P48" s="26"/>
    </row>
    <row r="49" spans="2:16" x14ac:dyDescent="0.2">
      <c r="B49" s="23"/>
      <c r="C49" s="24"/>
      <c r="D49" s="29"/>
      <c r="E49" s="29"/>
      <c r="F49" s="25"/>
      <c r="G49" s="31"/>
      <c r="H49" s="31"/>
      <c r="I49" s="32"/>
      <c r="J49" s="31"/>
      <c r="K49" s="31"/>
      <c r="L49" s="31"/>
      <c r="M49" s="31"/>
      <c r="N49" s="31"/>
      <c r="O49" s="31"/>
      <c r="P49" s="33"/>
    </row>
    <row r="50" spans="2:16" ht="20" customHeight="1" x14ac:dyDescent="0.2">
      <c r="B50" s="62" t="s">
        <v>79</v>
      </c>
      <c r="C50" s="57"/>
      <c r="D50" s="57"/>
      <c r="E50" s="58"/>
      <c r="F50" s="19">
        <f>SUM(F25:F36)</f>
        <v>0.45138888888888878</v>
      </c>
      <c r="G50" s="18"/>
    </row>
    <row r="51" spans="2:16" ht="25.5" customHeight="1" x14ac:dyDescent="0.2">
      <c r="B51" s="56" t="s">
        <v>80</v>
      </c>
      <c r="C51" s="57"/>
      <c r="D51" s="57"/>
      <c r="E51" s="57"/>
      <c r="F51" s="57"/>
      <c r="G51" s="57"/>
      <c r="H51" s="57"/>
      <c r="I51" s="57"/>
      <c r="J51" s="57"/>
      <c r="K51" s="57"/>
      <c r="L51" s="57"/>
      <c r="M51" s="57"/>
      <c r="N51" s="57"/>
      <c r="O51" s="57"/>
      <c r="P51" s="58"/>
    </row>
    <row r="52" spans="2:16" ht="22.5" customHeight="1" x14ac:dyDescent="0.2">
      <c r="B52" s="59"/>
      <c r="C52" s="60"/>
      <c r="D52" s="60"/>
      <c r="E52" s="60"/>
      <c r="F52" s="60"/>
      <c r="G52" s="60"/>
      <c r="H52" s="60"/>
      <c r="I52" s="60"/>
      <c r="J52" s="60"/>
      <c r="K52" s="60"/>
      <c r="L52" s="60"/>
      <c r="M52" s="60"/>
      <c r="N52" s="60"/>
      <c r="O52" s="60"/>
      <c r="P52" s="61"/>
    </row>
    <row r="53" spans="2:16" x14ac:dyDescent="0.2">
      <c r="B53" s="15"/>
      <c r="C53" s="15"/>
      <c r="D53" s="15"/>
      <c r="E53" s="15"/>
      <c r="F53" s="15"/>
      <c r="G53" s="15"/>
      <c r="H53" s="15"/>
      <c r="I53" s="15"/>
      <c r="J53" s="15"/>
      <c r="K53" s="15"/>
      <c r="L53" s="15"/>
      <c r="M53" s="15"/>
      <c r="N53" s="15"/>
      <c r="O53" s="15"/>
      <c r="P53" s="15"/>
    </row>
    <row r="54" spans="2:16" x14ac:dyDescent="0.2">
      <c r="B54" s="63" t="s">
        <v>81</v>
      </c>
      <c r="C54" s="52"/>
    </row>
    <row r="55" spans="2:16" ht="43.5" customHeight="1" x14ac:dyDescent="0.2">
      <c r="B55" s="50" t="s">
        <v>82</v>
      </c>
      <c r="C55" s="39"/>
      <c r="D55" s="13" t="s">
        <v>83</v>
      </c>
    </row>
    <row r="56" spans="2:16" ht="20" customHeight="1" x14ac:dyDescent="0.2">
      <c r="B56" s="54" t="s">
        <v>84</v>
      </c>
      <c r="C56" s="39"/>
      <c r="D56" s="16">
        <v>2.0833333333333329E-2</v>
      </c>
    </row>
    <row r="57" spans="2:16" ht="20" customHeight="1" x14ac:dyDescent="0.2">
      <c r="B57" s="43" t="s">
        <v>85</v>
      </c>
      <c r="C57" s="39"/>
      <c r="D57" s="17">
        <f>SUM(D56:D56)</f>
        <v>2.0833333333333329E-2</v>
      </c>
    </row>
    <row r="59" spans="2:16" x14ac:dyDescent="0.2">
      <c r="B59" s="51"/>
      <c r="C59" s="52"/>
    </row>
  </sheetData>
  <mergeCells count="54">
    <mergeCell ref="D20:E20"/>
    <mergeCell ref="L2:P2"/>
    <mergeCell ref="B54:C54"/>
    <mergeCell ref="B16:C16"/>
    <mergeCell ref="B7:C7"/>
    <mergeCell ref="J5:K5"/>
    <mergeCell ref="D8:P8"/>
    <mergeCell ref="L3:P3"/>
    <mergeCell ref="F21:P21"/>
    <mergeCell ref="B14:C14"/>
    <mergeCell ref="B18:C22"/>
    <mergeCell ref="F20:P20"/>
    <mergeCell ref="B17:C17"/>
    <mergeCell ref="K17:M17"/>
    <mergeCell ref="L4:P4"/>
    <mergeCell ref="B2:K4"/>
    <mergeCell ref="B59:C59"/>
    <mergeCell ref="D19:E19"/>
    <mergeCell ref="D9:P9"/>
    <mergeCell ref="D12:P12"/>
    <mergeCell ref="B23:P23"/>
    <mergeCell ref="F19:P19"/>
    <mergeCell ref="N17:P17"/>
    <mergeCell ref="D22:E22"/>
    <mergeCell ref="B56:C56"/>
    <mergeCell ref="D15:P15"/>
    <mergeCell ref="B12:C12"/>
    <mergeCell ref="D21:E21"/>
    <mergeCell ref="B51:P52"/>
    <mergeCell ref="D14:P14"/>
    <mergeCell ref="B50:E50"/>
    <mergeCell ref="B11:C11"/>
    <mergeCell ref="B57:C57"/>
    <mergeCell ref="B8:C8"/>
    <mergeCell ref="F18:P18"/>
    <mergeCell ref="L5:P5"/>
    <mergeCell ref="D10:P10"/>
    <mergeCell ref="D17:H17"/>
    <mergeCell ref="B13:C13"/>
    <mergeCell ref="D5:I5"/>
    <mergeCell ref="B10:C10"/>
    <mergeCell ref="D6:P6"/>
    <mergeCell ref="D18:E18"/>
    <mergeCell ref="B9:C9"/>
    <mergeCell ref="F22:P22"/>
    <mergeCell ref="I17:J17"/>
    <mergeCell ref="D11:P11"/>
    <mergeCell ref="B55:C55"/>
    <mergeCell ref="D16:P16"/>
    <mergeCell ref="D13:P13"/>
    <mergeCell ref="B6:C6"/>
    <mergeCell ref="B15:C15"/>
    <mergeCell ref="B5:C5"/>
    <mergeCell ref="D7:P7"/>
  </mergeCells>
  <conditionalFormatting sqref="D15:P15">
    <cfRule type="containsText" dxfId="5" priority="1" operator="containsText" text="Bajo">
      <formula>NOT(ISERROR(SEARCH("Bajo",D15)))</formula>
    </cfRule>
    <cfRule type="containsText" dxfId="4" priority="2" operator="containsText" text="Medio">
      <formula>NOT(ISERROR(SEARCH("Medio",D15)))</formula>
    </cfRule>
    <cfRule type="containsText" dxfId="3" priority="3" operator="containsText" text="Alto">
      <formula>NOT(ISERROR(SEARCH("Alto",D15)))</formula>
    </cfRule>
  </conditionalFormatting>
  <dataValidations count="1">
    <dataValidation type="list" allowBlank="1" showInputMessage="1" showErrorMessage="1" sqref="D6:P6" xr:uid="{00000000-0002-0000-0000-000000000000}">
      <formula1>$V$4:$V$7</formula1>
    </dataValidation>
  </dataValidations>
  <pageMargins left="0" right="0" top="0.15748031496062989" bottom="0.15748031496062989" header="0.31496062992125978" footer="0.31496062992125978"/>
  <pageSetup scale="48"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Q26"/>
  <sheetViews>
    <sheetView showGridLines="0" zoomScale="70" zoomScaleNormal="70" workbookViewId="0">
      <selection activeCell="V13" sqref="V13"/>
    </sheetView>
  </sheetViews>
  <sheetFormatPr baseColWidth="10" defaultRowHeight="16" x14ac:dyDescent="0.2"/>
  <cols>
    <col min="1" max="1" width="2.5" style="1" customWidth="1"/>
    <col min="2" max="2" width="34.33203125" style="1" bestFit="1" customWidth="1"/>
    <col min="3" max="3" width="15.5" style="1" customWidth="1"/>
    <col min="4" max="4" width="13.6640625" style="1" customWidth="1"/>
    <col min="5" max="5" width="20.5" style="1" customWidth="1"/>
    <col min="6" max="6" width="9" style="1" hidden="1" customWidth="1"/>
    <col min="7" max="7" width="20.6640625" style="1" hidden="1" customWidth="1"/>
    <col min="8" max="8" width="24.83203125" style="1" hidden="1" customWidth="1"/>
    <col min="9" max="15" width="20.6640625" style="1" hidden="1" customWidth="1"/>
    <col min="16" max="16" width="18.1640625" style="1" hidden="1" customWidth="1"/>
    <col min="17" max="17" width="2.5" style="1" hidden="1" customWidth="1"/>
    <col min="18" max="257" width="11.5" style="1" customWidth="1"/>
    <col min="258" max="258" width="14.83203125" style="1" bestFit="1" customWidth="1"/>
    <col min="259" max="259" width="12.1640625" style="1" bestFit="1" customWidth="1"/>
    <col min="260" max="260" width="22.5" style="1" customWidth="1"/>
    <col min="261" max="261" width="23" style="1" customWidth="1"/>
    <col min="262" max="262" width="0" style="1" hidden="1"/>
    <col min="263" max="271" width="20.6640625" style="1" customWidth="1"/>
    <col min="272" max="273" width="0" style="1" hidden="1"/>
    <col min="274" max="513" width="11.5" style="1" customWidth="1"/>
    <col min="514" max="514" width="14.83203125" style="1" bestFit="1" customWidth="1"/>
    <col min="515" max="515" width="12.1640625" style="1" bestFit="1" customWidth="1"/>
    <col min="516" max="516" width="22.5" style="1" customWidth="1"/>
    <col min="517" max="517" width="23" style="1" customWidth="1"/>
    <col min="518" max="518" width="0" style="1" hidden="1"/>
    <col min="519" max="527" width="20.6640625" style="1" customWidth="1"/>
    <col min="528" max="529" width="0" style="1" hidden="1"/>
    <col min="530" max="769" width="11.5" style="1" customWidth="1"/>
    <col min="770" max="770" width="14.83203125" style="1" bestFit="1" customWidth="1"/>
    <col min="771" max="771" width="12.1640625" style="1" bestFit="1" customWidth="1"/>
    <col min="772" max="772" width="22.5" style="1" customWidth="1"/>
    <col min="773" max="773" width="23" style="1" customWidth="1"/>
    <col min="774" max="774" width="0" style="1" hidden="1"/>
    <col min="775" max="783" width="20.6640625" style="1" customWidth="1"/>
    <col min="784" max="785" width="0" style="1" hidden="1"/>
    <col min="786" max="1025" width="11.5" style="1" customWidth="1"/>
    <col min="1026" max="1026" width="14.83203125" style="1" bestFit="1" customWidth="1"/>
    <col min="1027" max="1027" width="12.1640625" style="1" bestFit="1" customWidth="1"/>
    <col min="1028" max="1028" width="22.5" style="1" customWidth="1"/>
    <col min="1029" max="1029" width="23" style="1" customWidth="1"/>
    <col min="1030" max="1030" width="0" style="1" hidden="1"/>
    <col min="1031" max="1039" width="20.6640625" style="1" customWidth="1"/>
    <col min="1040" max="1041" width="0" style="1" hidden="1"/>
    <col min="1042" max="1281" width="11.5" style="1" customWidth="1"/>
    <col min="1282" max="1282" width="14.83203125" style="1" bestFit="1" customWidth="1"/>
    <col min="1283" max="1283" width="12.1640625" style="1" bestFit="1" customWidth="1"/>
    <col min="1284" max="1284" width="22.5" style="1" customWidth="1"/>
    <col min="1285" max="1285" width="23" style="1" customWidth="1"/>
    <col min="1286" max="1286" width="0" style="1" hidden="1"/>
    <col min="1287" max="1295" width="20.6640625" style="1" customWidth="1"/>
    <col min="1296" max="1297" width="0" style="1" hidden="1"/>
    <col min="1298" max="1537" width="11.5" style="1" customWidth="1"/>
    <col min="1538" max="1538" width="14.83203125" style="1" bestFit="1" customWidth="1"/>
    <col min="1539" max="1539" width="12.1640625" style="1" bestFit="1" customWidth="1"/>
    <col min="1540" max="1540" width="22.5" style="1" customWidth="1"/>
    <col min="1541" max="1541" width="23" style="1" customWidth="1"/>
    <col min="1542" max="1542" width="0" style="1" hidden="1"/>
    <col min="1543" max="1551" width="20.6640625" style="1" customWidth="1"/>
    <col min="1552" max="1553" width="0" style="1" hidden="1"/>
    <col min="1554" max="1793" width="11.5" style="1" customWidth="1"/>
    <col min="1794" max="1794" width="14.83203125" style="1" bestFit="1" customWidth="1"/>
    <col min="1795" max="1795" width="12.1640625" style="1" bestFit="1" customWidth="1"/>
    <col min="1796" max="1796" width="22.5" style="1" customWidth="1"/>
    <col min="1797" max="1797" width="23" style="1" customWidth="1"/>
    <col min="1798" max="1798" width="0" style="1" hidden="1"/>
    <col min="1799" max="1807" width="20.6640625" style="1" customWidth="1"/>
    <col min="1808" max="1809" width="0" style="1" hidden="1"/>
    <col min="1810" max="2049" width="11.5" style="1" customWidth="1"/>
    <col min="2050" max="2050" width="14.83203125" style="1" bestFit="1" customWidth="1"/>
    <col min="2051" max="2051" width="12.1640625" style="1" bestFit="1" customWidth="1"/>
    <col min="2052" max="2052" width="22.5" style="1" customWidth="1"/>
    <col min="2053" max="2053" width="23" style="1" customWidth="1"/>
    <col min="2054" max="2054" width="0" style="1" hidden="1"/>
    <col min="2055" max="2063" width="20.6640625" style="1" customWidth="1"/>
    <col min="2064" max="2065" width="0" style="1" hidden="1"/>
    <col min="2066" max="2305" width="11.5" style="1" customWidth="1"/>
    <col min="2306" max="2306" width="14.83203125" style="1" bestFit="1" customWidth="1"/>
    <col min="2307" max="2307" width="12.1640625" style="1" bestFit="1" customWidth="1"/>
    <col min="2308" max="2308" width="22.5" style="1" customWidth="1"/>
    <col min="2309" max="2309" width="23" style="1" customWidth="1"/>
    <col min="2310" max="2310" width="0" style="1" hidden="1"/>
    <col min="2311" max="2319" width="20.6640625" style="1" customWidth="1"/>
    <col min="2320" max="2321" width="0" style="1" hidden="1"/>
    <col min="2322" max="2561" width="11.5" style="1" customWidth="1"/>
    <col min="2562" max="2562" width="14.83203125" style="1" bestFit="1" customWidth="1"/>
    <col min="2563" max="2563" width="12.1640625" style="1" bestFit="1" customWidth="1"/>
    <col min="2564" max="2564" width="22.5" style="1" customWidth="1"/>
    <col min="2565" max="2565" width="23" style="1" customWidth="1"/>
    <col min="2566" max="2566" width="0" style="1" hidden="1"/>
    <col min="2567" max="2575" width="20.6640625" style="1" customWidth="1"/>
    <col min="2576" max="2577" width="0" style="1" hidden="1"/>
    <col min="2578" max="2817" width="11.5" style="1" customWidth="1"/>
    <col min="2818" max="2818" width="14.83203125" style="1" bestFit="1" customWidth="1"/>
    <col min="2819" max="2819" width="12.1640625" style="1" bestFit="1" customWidth="1"/>
    <col min="2820" max="2820" width="22.5" style="1" customWidth="1"/>
    <col min="2821" max="2821" width="23" style="1" customWidth="1"/>
    <col min="2822" max="2822" width="0" style="1" hidden="1"/>
    <col min="2823" max="2831" width="20.6640625" style="1" customWidth="1"/>
    <col min="2832" max="2833" width="0" style="1" hidden="1"/>
    <col min="2834" max="3073" width="11.5" style="1" customWidth="1"/>
    <col min="3074" max="3074" width="14.83203125" style="1" bestFit="1" customWidth="1"/>
    <col min="3075" max="3075" width="12.1640625" style="1" bestFit="1" customWidth="1"/>
    <col min="3076" max="3076" width="22.5" style="1" customWidth="1"/>
    <col min="3077" max="3077" width="23" style="1" customWidth="1"/>
    <col min="3078" max="3078" width="0" style="1" hidden="1"/>
    <col min="3079" max="3087" width="20.6640625" style="1" customWidth="1"/>
    <col min="3088" max="3089" width="0" style="1" hidden="1"/>
    <col min="3090" max="3329" width="11.5" style="1" customWidth="1"/>
    <col min="3330" max="3330" width="14.83203125" style="1" bestFit="1" customWidth="1"/>
    <col min="3331" max="3331" width="12.1640625" style="1" bestFit="1" customWidth="1"/>
    <col min="3332" max="3332" width="22.5" style="1" customWidth="1"/>
    <col min="3333" max="3333" width="23" style="1" customWidth="1"/>
    <col min="3334" max="3334" width="0" style="1" hidden="1"/>
    <col min="3335" max="3343" width="20.6640625" style="1" customWidth="1"/>
    <col min="3344" max="3345" width="0" style="1" hidden="1"/>
    <col min="3346" max="3585" width="11.5" style="1" customWidth="1"/>
    <col min="3586" max="3586" width="14.83203125" style="1" bestFit="1" customWidth="1"/>
    <col min="3587" max="3587" width="12.1640625" style="1" bestFit="1" customWidth="1"/>
    <col min="3588" max="3588" width="22.5" style="1" customWidth="1"/>
    <col min="3589" max="3589" width="23" style="1" customWidth="1"/>
    <col min="3590" max="3590" width="0" style="1" hidden="1"/>
    <col min="3591" max="3599" width="20.6640625" style="1" customWidth="1"/>
    <col min="3600" max="3601" width="0" style="1" hidden="1"/>
    <col min="3602" max="3841" width="11.5" style="1" customWidth="1"/>
    <col min="3842" max="3842" width="14.83203125" style="1" bestFit="1" customWidth="1"/>
    <col min="3843" max="3843" width="12.1640625" style="1" bestFit="1" customWidth="1"/>
    <col min="3844" max="3844" width="22.5" style="1" customWidth="1"/>
    <col min="3845" max="3845" width="23" style="1" customWidth="1"/>
    <col min="3846" max="3846" width="0" style="1" hidden="1"/>
    <col min="3847" max="3855" width="20.6640625" style="1" customWidth="1"/>
    <col min="3856" max="3857" width="0" style="1" hidden="1"/>
    <col min="3858" max="4097" width="11.5" style="1" customWidth="1"/>
    <col min="4098" max="4098" width="14.83203125" style="1" bestFit="1" customWidth="1"/>
    <col min="4099" max="4099" width="12.1640625" style="1" bestFit="1" customWidth="1"/>
    <col min="4100" max="4100" width="22.5" style="1" customWidth="1"/>
    <col min="4101" max="4101" width="23" style="1" customWidth="1"/>
    <col min="4102" max="4102" width="0" style="1" hidden="1"/>
    <col min="4103" max="4111" width="20.6640625" style="1" customWidth="1"/>
    <col min="4112" max="4113" width="0" style="1" hidden="1"/>
    <col min="4114" max="4353" width="11.5" style="1" customWidth="1"/>
    <col min="4354" max="4354" width="14.83203125" style="1" bestFit="1" customWidth="1"/>
    <col min="4355" max="4355" width="12.1640625" style="1" bestFit="1" customWidth="1"/>
    <col min="4356" max="4356" width="22.5" style="1" customWidth="1"/>
    <col min="4357" max="4357" width="23" style="1" customWidth="1"/>
    <col min="4358" max="4358" width="0" style="1" hidden="1"/>
    <col min="4359" max="4367" width="20.6640625" style="1" customWidth="1"/>
    <col min="4368" max="4369" width="0" style="1" hidden="1"/>
    <col min="4370" max="4609" width="11.5" style="1" customWidth="1"/>
    <col min="4610" max="4610" width="14.83203125" style="1" bestFit="1" customWidth="1"/>
    <col min="4611" max="4611" width="12.1640625" style="1" bestFit="1" customWidth="1"/>
    <col min="4612" max="4612" width="22.5" style="1" customWidth="1"/>
    <col min="4613" max="4613" width="23" style="1" customWidth="1"/>
    <col min="4614" max="4614" width="0" style="1" hidden="1"/>
    <col min="4615" max="4623" width="20.6640625" style="1" customWidth="1"/>
    <col min="4624" max="4625" width="0" style="1" hidden="1"/>
    <col min="4626" max="4865" width="11.5" style="1" customWidth="1"/>
    <col min="4866" max="4866" width="14.83203125" style="1" bestFit="1" customWidth="1"/>
    <col min="4867" max="4867" width="12.1640625" style="1" bestFit="1" customWidth="1"/>
    <col min="4868" max="4868" width="22.5" style="1" customWidth="1"/>
    <col min="4869" max="4869" width="23" style="1" customWidth="1"/>
    <col min="4870" max="4870" width="0" style="1" hidden="1"/>
    <col min="4871" max="4879" width="20.6640625" style="1" customWidth="1"/>
    <col min="4880" max="4881" width="0" style="1" hidden="1"/>
    <col min="4882" max="5121" width="11.5" style="1" customWidth="1"/>
    <col min="5122" max="5122" width="14.83203125" style="1" bestFit="1" customWidth="1"/>
    <col min="5123" max="5123" width="12.1640625" style="1" bestFit="1" customWidth="1"/>
    <col min="5124" max="5124" width="22.5" style="1" customWidth="1"/>
    <col min="5125" max="5125" width="23" style="1" customWidth="1"/>
    <col min="5126" max="5126" width="0" style="1" hidden="1"/>
    <col min="5127" max="5135" width="20.6640625" style="1" customWidth="1"/>
    <col min="5136" max="5137" width="0" style="1" hidden="1"/>
    <col min="5138" max="5377" width="11.5" style="1" customWidth="1"/>
    <col min="5378" max="5378" width="14.83203125" style="1" bestFit="1" customWidth="1"/>
    <col min="5379" max="5379" width="12.1640625" style="1" bestFit="1" customWidth="1"/>
    <col min="5380" max="5380" width="22.5" style="1" customWidth="1"/>
    <col min="5381" max="5381" width="23" style="1" customWidth="1"/>
    <col min="5382" max="5382" width="0" style="1" hidden="1"/>
    <col min="5383" max="5391" width="20.6640625" style="1" customWidth="1"/>
    <col min="5392" max="5393" width="0" style="1" hidden="1"/>
    <col min="5394" max="5633" width="11.5" style="1" customWidth="1"/>
    <col min="5634" max="5634" width="14.83203125" style="1" bestFit="1" customWidth="1"/>
    <col min="5635" max="5635" width="12.1640625" style="1" bestFit="1" customWidth="1"/>
    <col min="5636" max="5636" width="22.5" style="1" customWidth="1"/>
    <col min="5637" max="5637" width="23" style="1" customWidth="1"/>
    <col min="5638" max="5638" width="0" style="1" hidden="1"/>
    <col min="5639" max="5647" width="20.6640625" style="1" customWidth="1"/>
    <col min="5648" max="5649" width="0" style="1" hidden="1"/>
    <col min="5650" max="5889" width="11.5" style="1" customWidth="1"/>
    <col min="5890" max="5890" width="14.83203125" style="1" bestFit="1" customWidth="1"/>
    <col min="5891" max="5891" width="12.1640625" style="1" bestFit="1" customWidth="1"/>
    <col min="5892" max="5892" width="22.5" style="1" customWidth="1"/>
    <col min="5893" max="5893" width="23" style="1" customWidth="1"/>
    <col min="5894" max="5894" width="0" style="1" hidden="1"/>
    <col min="5895" max="5903" width="20.6640625" style="1" customWidth="1"/>
    <col min="5904" max="5905" width="0" style="1" hidden="1"/>
    <col min="5906" max="6145" width="11.5" style="1" customWidth="1"/>
    <col min="6146" max="6146" width="14.83203125" style="1" bestFit="1" customWidth="1"/>
    <col min="6147" max="6147" width="12.1640625" style="1" bestFit="1" customWidth="1"/>
    <col min="6148" max="6148" width="22.5" style="1" customWidth="1"/>
    <col min="6149" max="6149" width="23" style="1" customWidth="1"/>
    <col min="6150" max="6150" width="0" style="1" hidden="1"/>
    <col min="6151" max="6159" width="20.6640625" style="1" customWidth="1"/>
    <col min="6160" max="6161" width="0" style="1" hidden="1"/>
    <col min="6162" max="6401" width="11.5" style="1" customWidth="1"/>
    <col min="6402" max="6402" width="14.83203125" style="1" bestFit="1" customWidth="1"/>
    <col min="6403" max="6403" width="12.1640625" style="1" bestFit="1" customWidth="1"/>
    <col min="6404" max="6404" width="22.5" style="1" customWidth="1"/>
    <col min="6405" max="6405" width="23" style="1" customWidth="1"/>
    <col min="6406" max="6406" width="0" style="1" hidden="1"/>
    <col min="6407" max="6415" width="20.6640625" style="1" customWidth="1"/>
    <col min="6416" max="6417" width="0" style="1" hidden="1"/>
    <col min="6418" max="6657" width="11.5" style="1" customWidth="1"/>
    <col min="6658" max="6658" width="14.83203125" style="1" bestFit="1" customWidth="1"/>
    <col min="6659" max="6659" width="12.1640625" style="1" bestFit="1" customWidth="1"/>
    <col min="6660" max="6660" width="22.5" style="1" customWidth="1"/>
    <col min="6661" max="6661" width="23" style="1" customWidth="1"/>
    <col min="6662" max="6662" width="0" style="1" hidden="1"/>
    <col min="6663" max="6671" width="20.6640625" style="1" customWidth="1"/>
    <col min="6672" max="6673" width="0" style="1" hidden="1"/>
    <col min="6674" max="6913" width="11.5" style="1" customWidth="1"/>
    <col min="6914" max="6914" width="14.83203125" style="1" bestFit="1" customWidth="1"/>
    <col min="6915" max="6915" width="12.1640625" style="1" bestFit="1" customWidth="1"/>
    <col min="6916" max="6916" width="22.5" style="1" customWidth="1"/>
    <col min="6917" max="6917" width="23" style="1" customWidth="1"/>
    <col min="6918" max="6918" width="0" style="1" hidden="1"/>
    <col min="6919" max="6927" width="20.6640625" style="1" customWidth="1"/>
    <col min="6928" max="6929" width="0" style="1" hidden="1"/>
    <col min="6930" max="7169" width="11.5" style="1" customWidth="1"/>
    <col min="7170" max="7170" width="14.83203125" style="1" bestFit="1" customWidth="1"/>
    <col min="7171" max="7171" width="12.1640625" style="1" bestFit="1" customWidth="1"/>
    <col min="7172" max="7172" width="22.5" style="1" customWidth="1"/>
    <col min="7173" max="7173" width="23" style="1" customWidth="1"/>
    <col min="7174" max="7174" width="0" style="1" hidden="1"/>
    <col min="7175" max="7183" width="20.6640625" style="1" customWidth="1"/>
    <col min="7184" max="7185" width="0" style="1" hidden="1"/>
    <col min="7186" max="7425" width="11.5" style="1" customWidth="1"/>
    <col min="7426" max="7426" width="14.83203125" style="1" bestFit="1" customWidth="1"/>
    <col min="7427" max="7427" width="12.1640625" style="1" bestFit="1" customWidth="1"/>
    <col min="7428" max="7428" width="22.5" style="1" customWidth="1"/>
    <col min="7429" max="7429" width="23" style="1" customWidth="1"/>
    <col min="7430" max="7430" width="0" style="1" hidden="1"/>
    <col min="7431" max="7439" width="20.6640625" style="1" customWidth="1"/>
    <col min="7440" max="7441" width="0" style="1" hidden="1"/>
    <col min="7442" max="7681" width="11.5" style="1" customWidth="1"/>
    <col min="7682" max="7682" width="14.83203125" style="1" bestFit="1" customWidth="1"/>
    <col min="7683" max="7683" width="12.1640625" style="1" bestFit="1" customWidth="1"/>
    <col min="7684" max="7684" width="22.5" style="1" customWidth="1"/>
    <col min="7685" max="7685" width="23" style="1" customWidth="1"/>
    <col min="7686" max="7686" width="0" style="1" hidden="1"/>
    <col min="7687" max="7695" width="20.6640625" style="1" customWidth="1"/>
    <col min="7696" max="7697" width="0" style="1" hidden="1"/>
    <col min="7698" max="7937" width="11.5" style="1" customWidth="1"/>
    <col min="7938" max="7938" width="14.83203125" style="1" bestFit="1" customWidth="1"/>
    <col min="7939" max="7939" width="12.1640625" style="1" bestFit="1" customWidth="1"/>
    <col min="7940" max="7940" width="22.5" style="1" customWidth="1"/>
    <col min="7941" max="7941" width="23" style="1" customWidth="1"/>
    <col min="7942" max="7942" width="0" style="1" hidden="1"/>
    <col min="7943" max="7951" width="20.6640625" style="1" customWidth="1"/>
    <col min="7952" max="7953" width="0" style="1" hidden="1"/>
    <col min="7954" max="8193" width="11.5" style="1" customWidth="1"/>
    <col min="8194" max="8194" width="14.83203125" style="1" bestFit="1" customWidth="1"/>
    <col min="8195" max="8195" width="12.1640625" style="1" bestFit="1" customWidth="1"/>
    <col min="8196" max="8196" width="22.5" style="1" customWidth="1"/>
    <col min="8197" max="8197" width="23" style="1" customWidth="1"/>
    <col min="8198" max="8198" width="0" style="1" hidden="1"/>
    <col min="8199" max="8207" width="20.6640625" style="1" customWidth="1"/>
    <col min="8208" max="8209" width="0" style="1" hidden="1"/>
    <col min="8210" max="8449" width="11.5" style="1" customWidth="1"/>
    <col min="8450" max="8450" width="14.83203125" style="1" bestFit="1" customWidth="1"/>
    <col min="8451" max="8451" width="12.1640625" style="1" bestFit="1" customWidth="1"/>
    <col min="8452" max="8452" width="22.5" style="1" customWidth="1"/>
    <col min="8453" max="8453" width="23" style="1" customWidth="1"/>
    <col min="8454" max="8454" width="0" style="1" hidden="1"/>
    <col min="8455" max="8463" width="20.6640625" style="1" customWidth="1"/>
    <col min="8464" max="8465" width="0" style="1" hidden="1"/>
    <col min="8466" max="8705" width="11.5" style="1" customWidth="1"/>
    <col min="8706" max="8706" width="14.83203125" style="1" bestFit="1" customWidth="1"/>
    <col min="8707" max="8707" width="12.1640625" style="1" bestFit="1" customWidth="1"/>
    <col min="8708" max="8708" width="22.5" style="1" customWidth="1"/>
    <col min="8709" max="8709" width="23" style="1" customWidth="1"/>
    <col min="8710" max="8710" width="0" style="1" hidden="1"/>
    <col min="8711" max="8719" width="20.6640625" style="1" customWidth="1"/>
    <col min="8720" max="8721" width="0" style="1" hidden="1"/>
    <col min="8722" max="8961" width="11.5" style="1" customWidth="1"/>
    <col min="8962" max="8962" width="14.83203125" style="1" bestFit="1" customWidth="1"/>
    <col min="8963" max="8963" width="12.1640625" style="1" bestFit="1" customWidth="1"/>
    <col min="8964" max="8964" width="22.5" style="1" customWidth="1"/>
    <col min="8965" max="8965" width="23" style="1" customWidth="1"/>
    <col min="8966" max="8966" width="0" style="1" hidden="1"/>
    <col min="8967" max="8975" width="20.6640625" style="1" customWidth="1"/>
    <col min="8976" max="8977" width="0" style="1" hidden="1"/>
    <col min="8978" max="9217" width="11.5" style="1" customWidth="1"/>
    <col min="9218" max="9218" width="14.83203125" style="1" bestFit="1" customWidth="1"/>
    <col min="9219" max="9219" width="12.1640625" style="1" bestFit="1" customWidth="1"/>
    <col min="9220" max="9220" width="22.5" style="1" customWidth="1"/>
    <col min="9221" max="9221" width="23" style="1" customWidth="1"/>
    <col min="9222" max="9222" width="0" style="1" hidden="1"/>
    <col min="9223" max="9231" width="20.6640625" style="1" customWidth="1"/>
    <col min="9232" max="9233" width="0" style="1" hidden="1"/>
    <col min="9234" max="9473" width="11.5" style="1" customWidth="1"/>
    <col min="9474" max="9474" width="14.83203125" style="1" bestFit="1" customWidth="1"/>
    <col min="9475" max="9475" width="12.1640625" style="1" bestFit="1" customWidth="1"/>
    <col min="9476" max="9476" width="22.5" style="1" customWidth="1"/>
    <col min="9477" max="9477" width="23" style="1" customWidth="1"/>
    <col min="9478" max="9478" width="0" style="1" hidden="1"/>
    <col min="9479" max="9487" width="20.6640625" style="1" customWidth="1"/>
    <col min="9488" max="9489" width="0" style="1" hidden="1"/>
    <col min="9490" max="9729" width="11.5" style="1" customWidth="1"/>
    <col min="9730" max="9730" width="14.83203125" style="1" bestFit="1" customWidth="1"/>
    <col min="9731" max="9731" width="12.1640625" style="1" bestFit="1" customWidth="1"/>
    <col min="9732" max="9732" width="22.5" style="1" customWidth="1"/>
    <col min="9733" max="9733" width="23" style="1" customWidth="1"/>
    <col min="9734" max="9734" width="0" style="1" hidden="1"/>
    <col min="9735" max="9743" width="20.6640625" style="1" customWidth="1"/>
    <col min="9744" max="9745" width="0" style="1" hidden="1"/>
    <col min="9746" max="9985" width="11.5" style="1" customWidth="1"/>
    <col min="9986" max="9986" width="14.83203125" style="1" bestFit="1" customWidth="1"/>
    <col min="9987" max="9987" width="12.1640625" style="1" bestFit="1" customWidth="1"/>
    <col min="9988" max="9988" width="22.5" style="1" customWidth="1"/>
    <col min="9989" max="9989" width="23" style="1" customWidth="1"/>
    <col min="9990" max="9990" width="0" style="1" hidden="1"/>
    <col min="9991" max="9999" width="20.6640625" style="1" customWidth="1"/>
    <col min="10000" max="10001" width="0" style="1" hidden="1"/>
    <col min="10002" max="10241" width="11.5" style="1" customWidth="1"/>
    <col min="10242" max="10242" width="14.83203125" style="1" bestFit="1" customWidth="1"/>
    <col min="10243" max="10243" width="12.1640625" style="1" bestFit="1" customWidth="1"/>
    <col min="10244" max="10244" width="22.5" style="1" customWidth="1"/>
    <col min="10245" max="10245" width="23" style="1" customWidth="1"/>
    <col min="10246" max="10246" width="0" style="1" hidden="1"/>
    <col min="10247" max="10255" width="20.6640625" style="1" customWidth="1"/>
    <col min="10256" max="10257" width="0" style="1" hidden="1"/>
    <col min="10258" max="10497" width="11.5" style="1" customWidth="1"/>
    <col min="10498" max="10498" width="14.83203125" style="1" bestFit="1" customWidth="1"/>
    <col min="10499" max="10499" width="12.1640625" style="1" bestFit="1" customWidth="1"/>
    <col min="10500" max="10500" width="22.5" style="1" customWidth="1"/>
    <col min="10501" max="10501" width="23" style="1" customWidth="1"/>
    <col min="10502" max="10502" width="0" style="1" hidden="1"/>
    <col min="10503" max="10511" width="20.6640625" style="1" customWidth="1"/>
    <col min="10512" max="10513" width="0" style="1" hidden="1"/>
    <col min="10514" max="10753" width="11.5" style="1" customWidth="1"/>
    <col min="10754" max="10754" width="14.83203125" style="1" bestFit="1" customWidth="1"/>
    <col min="10755" max="10755" width="12.1640625" style="1" bestFit="1" customWidth="1"/>
    <col min="10756" max="10756" width="22.5" style="1" customWidth="1"/>
    <col min="10757" max="10757" width="23" style="1" customWidth="1"/>
    <col min="10758" max="10758" width="0" style="1" hidden="1"/>
    <col min="10759" max="10767" width="20.6640625" style="1" customWidth="1"/>
    <col min="10768" max="10769" width="0" style="1" hidden="1"/>
    <col min="10770" max="11009" width="11.5" style="1" customWidth="1"/>
    <col min="11010" max="11010" width="14.83203125" style="1" bestFit="1" customWidth="1"/>
    <col min="11011" max="11011" width="12.1640625" style="1" bestFit="1" customWidth="1"/>
    <col min="11012" max="11012" width="22.5" style="1" customWidth="1"/>
    <col min="11013" max="11013" width="23" style="1" customWidth="1"/>
    <col min="11014" max="11014" width="0" style="1" hidden="1"/>
    <col min="11015" max="11023" width="20.6640625" style="1" customWidth="1"/>
    <col min="11024" max="11025" width="0" style="1" hidden="1"/>
    <col min="11026" max="11265" width="11.5" style="1" customWidth="1"/>
    <col min="11266" max="11266" width="14.83203125" style="1" bestFit="1" customWidth="1"/>
    <col min="11267" max="11267" width="12.1640625" style="1" bestFit="1" customWidth="1"/>
    <col min="11268" max="11268" width="22.5" style="1" customWidth="1"/>
    <col min="11269" max="11269" width="23" style="1" customWidth="1"/>
    <col min="11270" max="11270" width="0" style="1" hidden="1"/>
    <col min="11271" max="11279" width="20.6640625" style="1" customWidth="1"/>
    <col min="11280" max="11281" width="0" style="1" hidden="1"/>
    <col min="11282" max="11521" width="11.5" style="1" customWidth="1"/>
    <col min="11522" max="11522" width="14.83203125" style="1" bestFit="1" customWidth="1"/>
    <col min="11523" max="11523" width="12.1640625" style="1" bestFit="1" customWidth="1"/>
    <col min="11524" max="11524" width="22.5" style="1" customWidth="1"/>
    <col min="11525" max="11525" width="23" style="1" customWidth="1"/>
    <col min="11526" max="11526" width="0" style="1" hidden="1"/>
    <col min="11527" max="11535" width="20.6640625" style="1" customWidth="1"/>
    <col min="11536" max="11537" width="0" style="1" hidden="1"/>
    <col min="11538" max="11777" width="11.5" style="1" customWidth="1"/>
    <col min="11778" max="11778" width="14.83203125" style="1" bestFit="1" customWidth="1"/>
    <col min="11779" max="11779" width="12.1640625" style="1" bestFit="1" customWidth="1"/>
    <col min="11780" max="11780" width="22.5" style="1" customWidth="1"/>
    <col min="11781" max="11781" width="23" style="1" customWidth="1"/>
    <col min="11782" max="11782" width="0" style="1" hidden="1"/>
    <col min="11783" max="11791" width="20.6640625" style="1" customWidth="1"/>
    <col min="11792" max="11793" width="0" style="1" hidden="1"/>
    <col min="11794" max="12033" width="11.5" style="1" customWidth="1"/>
    <col min="12034" max="12034" width="14.83203125" style="1" bestFit="1" customWidth="1"/>
    <col min="12035" max="12035" width="12.1640625" style="1" bestFit="1" customWidth="1"/>
    <col min="12036" max="12036" width="22.5" style="1" customWidth="1"/>
    <col min="12037" max="12037" width="23" style="1" customWidth="1"/>
    <col min="12038" max="12038" width="0" style="1" hidden="1"/>
    <col min="12039" max="12047" width="20.6640625" style="1" customWidth="1"/>
    <col min="12048" max="12049" width="0" style="1" hidden="1"/>
    <col min="12050" max="12289" width="11.5" style="1" customWidth="1"/>
    <col min="12290" max="12290" width="14.83203125" style="1" bestFit="1" customWidth="1"/>
    <col min="12291" max="12291" width="12.1640625" style="1" bestFit="1" customWidth="1"/>
    <col min="12292" max="12292" width="22.5" style="1" customWidth="1"/>
    <col min="12293" max="12293" width="23" style="1" customWidth="1"/>
    <col min="12294" max="12294" width="0" style="1" hidden="1"/>
    <col min="12295" max="12303" width="20.6640625" style="1" customWidth="1"/>
    <col min="12304" max="12305" width="0" style="1" hidden="1"/>
    <col min="12306" max="12545" width="11.5" style="1" customWidth="1"/>
    <col min="12546" max="12546" width="14.83203125" style="1" bestFit="1" customWidth="1"/>
    <col min="12547" max="12547" width="12.1640625" style="1" bestFit="1" customWidth="1"/>
    <col min="12548" max="12548" width="22.5" style="1" customWidth="1"/>
    <col min="12549" max="12549" width="23" style="1" customWidth="1"/>
    <col min="12550" max="12550" width="0" style="1" hidden="1"/>
    <col min="12551" max="12559" width="20.6640625" style="1" customWidth="1"/>
    <col min="12560" max="12561" width="0" style="1" hidden="1"/>
    <col min="12562" max="12801" width="11.5" style="1" customWidth="1"/>
    <col min="12802" max="12802" width="14.83203125" style="1" bestFit="1" customWidth="1"/>
    <col min="12803" max="12803" width="12.1640625" style="1" bestFit="1" customWidth="1"/>
    <col min="12804" max="12804" width="22.5" style="1" customWidth="1"/>
    <col min="12805" max="12805" width="23" style="1" customWidth="1"/>
    <col min="12806" max="12806" width="0" style="1" hidden="1"/>
    <col min="12807" max="12815" width="20.6640625" style="1" customWidth="1"/>
    <col min="12816" max="12817" width="0" style="1" hidden="1"/>
    <col min="12818" max="13057" width="11.5" style="1" customWidth="1"/>
    <col min="13058" max="13058" width="14.83203125" style="1" bestFit="1" customWidth="1"/>
    <col min="13059" max="13059" width="12.1640625" style="1" bestFit="1" customWidth="1"/>
    <col min="13060" max="13060" width="22.5" style="1" customWidth="1"/>
    <col min="13061" max="13061" width="23" style="1" customWidth="1"/>
    <col min="13062" max="13062" width="0" style="1" hidden="1"/>
    <col min="13063" max="13071" width="20.6640625" style="1" customWidth="1"/>
    <col min="13072" max="13073" width="0" style="1" hidden="1"/>
    <col min="13074" max="13313" width="11.5" style="1" customWidth="1"/>
    <col min="13314" max="13314" width="14.83203125" style="1" bestFit="1" customWidth="1"/>
    <col min="13315" max="13315" width="12.1640625" style="1" bestFit="1" customWidth="1"/>
    <col min="13316" max="13316" width="22.5" style="1" customWidth="1"/>
    <col min="13317" max="13317" width="23" style="1" customWidth="1"/>
    <col min="13318" max="13318" width="0" style="1" hidden="1"/>
    <col min="13319" max="13327" width="20.6640625" style="1" customWidth="1"/>
    <col min="13328" max="13329" width="0" style="1" hidden="1"/>
    <col min="13330" max="13569" width="11.5" style="1" customWidth="1"/>
    <col min="13570" max="13570" width="14.83203125" style="1" bestFit="1" customWidth="1"/>
    <col min="13571" max="13571" width="12.1640625" style="1" bestFit="1" customWidth="1"/>
    <col min="13572" max="13572" width="22.5" style="1" customWidth="1"/>
    <col min="13573" max="13573" width="23" style="1" customWidth="1"/>
    <col min="13574" max="13574" width="0" style="1" hidden="1"/>
    <col min="13575" max="13583" width="20.6640625" style="1" customWidth="1"/>
    <col min="13584" max="13585" width="0" style="1" hidden="1"/>
    <col min="13586" max="13825" width="11.5" style="1" customWidth="1"/>
    <col min="13826" max="13826" width="14.83203125" style="1" bestFit="1" customWidth="1"/>
    <col min="13827" max="13827" width="12.1640625" style="1" bestFit="1" customWidth="1"/>
    <col min="13828" max="13828" width="22.5" style="1" customWidth="1"/>
    <col min="13829" max="13829" width="23" style="1" customWidth="1"/>
    <col min="13830" max="13830" width="0" style="1" hidden="1"/>
    <col min="13831" max="13839" width="20.6640625" style="1" customWidth="1"/>
    <col min="13840" max="13841" width="0" style="1" hidden="1"/>
    <col min="13842" max="14081" width="11.5" style="1" customWidth="1"/>
    <col min="14082" max="14082" width="14.83203125" style="1" bestFit="1" customWidth="1"/>
    <col min="14083" max="14083" width="12.1640625" style="1" bestFit="1" customWidth="1"/>
    <col min="14084" max="14084" width="22.5" style="1" customWidth="1"/>
    <col min="14085" max="14085" width="23" style="1" customWidth="1"/>
    <col min="14086" max="14086" width="0" style="1" hidden="1"/>
    <col min="14087" max="14095" width="20.6640625" style="1" customWidth="1"/>
    <col min="14096" max="14097" width="0" style="1" hidden="1"/>
    <col min="14098" max="14337" width="11.5" style="1" customWidth="1"/>
    <col min="14338" max="14338" width="14.83203125" style="1" bestFit="1" customWidth="1"/>
    <col min="14339" max="14339" width="12.1640625" style="1" bestFit="1" customWidth="1"/>
    <col min="14340" max="14340" width="22.5" style="1" customWidth="1"/>
    <col min="14341" max="14341" width="23" style="1" customWidth="1"/>
    <col min="14342" max="14342" width="0" style="1" hidden="1"/>
    <col min="14343" max="14351" width="20.6640625" style="1" customWidth="1"/>
    <col min="14352" max="14353" width="0" style="1" hidden="1"/>
    <col min="14354" max="14593" width="11.5" style="1" customWidth="1"/>
    <col min="14594" max="14594" width="14.83203125" style="1" bestFit="1" customWidth="1"/>
    <col min="14595" max="14595" width="12.1640625" style="1" bestFit="1" customWidth="1"/>
    <col min="14596" max="14596" width="22.5" style="1" customWidth="1"/>
    <col min="14597" max="14597" width="23" style="1" customWidth="1"/>
    <col min="14598" max="14598" width="0" style="1" hidden="1"/>
    <col min="14599" max="14607" width="20.6640625" style="1" customWidth="1"/>
    <col min="14608" max="14609" width="0" style="1" hidden="1"/>
    <col min="14610" max="14849" width="11.5" style="1" customWidth="1"/>
    <col min="14850" max="14850" width="14.83203125" style="1" bestFit="1" customWidth="1"/>
    <col min="14851" max="14851" width="12.1640625" style="1" bestFit="1" customWidth="1"/>
    <col min="14852" max="14852" width="22.5" style="1" customWidth="1"/>
    <col min="14853" max="14853" width="23" style="1" customWidth="1"/>
    <col min="14854" max="14854" width="0" style="1" hidden="1"/>
    <col min="14855" max="14863" width="20.6640625" style="1" customWidth="1"/>
    <col min="14864" max="14865" width="0" style="1" hidden="1"/>
    <col min="14866" max="15105" width="11.5" style="1" customWidth="1"/>
    <col min="15106" max="15106" width="14.83203125" style="1" bestFit="1" customWidth="1"/>
    <col min="15107" max="15107" width="12.1640625" style="1" bestFit="1" customWidth="1"/>
    <col min="15108" max="15108" width="22.5" style="1" customWidth="1"/>
    <col min="15109" max="15109" width="23" style="1" customWidth="1"/>
    <col min="15110" max="15110" width="0" style="1" hidden="1"/>
    <col min="15111" max="15119" width="20.6640625" style="1" customWidth="1"/>
    <col min="15120" max="15121" width="0" style="1" hidden="1"/>
    <col min="15122" max="15361" width="11.5" style="1" customWidth="1"/>
    <col min="15362" max="15362" width="14.83203125" style="1" bestFit="1" customWidth="1"/>
    <col min="15363" max="15363" width="12.1640625" style="1" bestFit="1" customWidth="1"/>
    <col min="15364" max="15364" width="22.5" style="1" customWidth="1"/>
    <col min="15365" max="15365" width="23" style="1" customWidth="1"/>
    <col min="15366" max="15366" width="0" style="1" hidden="1"/>
    <col min="15367" max="15375" width="20.6640625" style="1" customWidth="1"/>
    <col min="15376" max="15377" width="0" style="1" hidden="1"/>
    <col min="15378" max="15617" width="11.5" style="1" customWidth="1"/>
    <col min="15618" max="15618" width="14.83203125" style="1" bestFit="1" customWidth="1"/>
    <col min="15619" max="15619" width="12.1640625" style="1" bestFit="1" customWidth="1"/>
    <col min="15620" max="15620" width="22.5" style="1" customWidth="1"/>
    <col min="15621" max="15621" width="23" style="1" customWidth="1"/>
    <col min="15622" max="15622" width="0" style="1" hidden="1"/>
    <col min="15623" max="15631" width="20.6640625" style="1" customWidth="1"/>
    <col min="15632" max="15633" width="0" style="1" hidden="1"/>
    <col min="15634" max="15873" width="11.5" style="1" customWidth="1"/>
    <col min="15874" max="15874" width="14.83203125" style="1" bestFit="1" customWidth="1"/>
    <col min="15875" max="15875" width="12.1640625" style="1" bestFit="1" customWidth="1"/>
    <col min="15876" max="15876" width="22.5" style="1" customWidth="1"/>
    <col min="15877" max="15877" width="23" style="1" customWidth="1"/>
    <col min="15878" max="15878" width="0" style="1" hidden="1"/>
    <col min="15879" max="15887" width="20.6640625" style="1" customWidth="1"/>
    <col min="15888" max="15889" width="0" style="1" hidden="1"/>
    <col min="15890" max="16129" width="11.5" style="1" customWidth="1"/>
    <col min="16130" max="16130" width="14.83203125" style="1" bestFit="1" customWidth="1"/>
    <col min="16131" max="16131" width="12.1640625" style="1" bestFit="1" customWidth="1"/>
    <col min="16132" max="16132" width="22.5" style="1" customWidth="1"/>
    <col min="16133" max="16133" width="23" style="1" customWidth="1"/>
    <col min="16134" max="16134" width="0" style="1" hidden="1"/>
    <col min="16135" max="16143" width="20.6640625" style="1" customWidth="1"/>
    <col min="16144" max="16145" width="0" style="1" hidden="1"/>
    <col min="16146" max="16384" width="11.5" style="1" customWidth="1"/>
  </cols>
  <sheetData>
    <row r="2" spans="2:17" x14ac:dyDescent="0.2">
      <c r="B2" s="70" t="s">
        <v>86</v>
      </c>
      <c r="C2" s="38"/>
      <c r="D2" s="38"/>
      <c r="E2" s="39"/>
    </row>
    <row r="3" spans="2:17" x14ac:dyDescent="0.2">
      <c r="B3" s="27"/>
      <c r="C3" s="68"/>
      <c r="D3" s="38"/>
      <c r="E3" s="39"/>
      <c r="P3" s="1" t="s">
        <v>87</v>
      </c>
      <c r="Q3" s="3">
        <v>1</v>
      </c>
    </row>
    <row r="4" spans="2:17" ht="185.25" customHeight="1" x14ac:dyDescent="0.2">
      <c r="B4" s="75" t="s">
        <v>88</v>
      </c>
      <c r="C4" s="76"/>
      <c r="D4" s="76"/>
      <c r="E4" s="77"/>
      <c r="P4" s="1" t="s">
        <v>89</v>
      </c>
      <c r="Q4" s="3">
        <v>2</v>
      </c>
    </row>
    <row r="5" spans="2:17" x14ac:dyDescent="0.2">
      <c r="B5" s="69" t="s">
        <v>90</v>
      </c>
      <c r="C5" s="71" t="s">
        <v>91</v>
      </c>
      <c r="D5" s="57"/>
      <c r="E5" s="58"/>
      <c r="P5" s="2" t="s">
        <v>92</v>
      </c>
      <c r="Q5" s="3">
        <v>3</v>
      </c>
    </row>
    <row r="6" spans="2:17" x14ac:dyDescent="0.2">
      <c r="B6" s="78"/>
      <c r="C6" s="64"/>
      <c r="D6" s="72"/>
      <c r="E6" s="65"/>
      <c r="P6" s="2" t="s">
        <v>93</v>
      </c>
      <c r="Q6" s="3">
        <v>1</v>
      </c>
    </row>
    <row r="7" spans="2:17" ht="33" customHeight="1" x14ac:dyDescent="0.2">
      <c r="B7" s="79"/>
      <c r="C7" s="59"/>
      <c r="D7" s="60"/>
      <c r="E7" s="61"/>
      <c r="P7" s="2" t="s">
        <v>94</v>
      </c>
      <c r="Q7" s="3">
        <v>2</v>
      </c>
    </row>
    <row r="8" spans="2:17" ht="16.5" customHeight="1" thickBot="1" x14ac:dyDescent="0.25">
      <c r="B8" s="74" t="s">
        <v>95</v>
      </c>
      <c r="C8" s="38"/>
      <c r="D8" s="39"/>
      <c r="E8" s="22" t="s">
        <v>96</v>
      </c>
      <c r="P8" s="2" t="s">
        <v>97</v>
      </c>
      <c r="Q8" s="3">
        <v>3</v>
      </c>
    </row>
    <row r="9" spans="2:17" ht="17.25" customHeight="1" thickTop="1" thickBot="1" x14ac:dyDescent="0.25">
      <c r="B9" s="69" t="s">
        <v>98</v>
      </c>
      <c r="C9" s="38"/>
      <c r="D9" s="39"/>
      <c r="E9" s="28" t="s">
        <v>87</v>
      </c>
      <c r="F9" s="4">
        <f>IF(E9=P3,Q3,IF(E9=P4,Q4,IF(E9=P5,Q5,"N/A")))</f>
        <v>1</v>
      </c>
      <c r="P9" s="2" t="s">
        <v>99</v>
      </c>
      <c r="Q9" s="3">
        <v>1</v>
      </c>
    </row>
    <row r="10" spans="2:17" ht="17.25" customHeight="1" thickTop="1" thickBot="1" x14ac:dyDescent="0.25">
      <c r="B10" s="69" t="s">
        <v>100</v>
      </c>
      <c r="C10" s="38"/>
      <c r="D10" s="39"/>
      <c r="E10" s="28" t="s">
        <v>97</v>
      </c>
      <c r="F10" s="4">
        <f>IF(E10=P6,Q6,IF(E10=P7,Q7,IF(E10=P8,Q8,"N/A")))</f>
        <v>3</v>
      </c>
      <c r="P10" s="2" t="s">
        <v>101</v>
      </c>
      <c r="Q10" s="3">
        <v>2</v>
      </c>
    </row>
    <row r="11" spans="2:17" ht="17.25" customHeight="1" thickTop="1" thickBot="1" x14ac:dyDescent="0.25">
      <c r="B11" s="69" t="s">
        <v>102</v>
      </c>
      <c r="C11" s="38"/>
      <c r="D11" s="39"/>
      <c r="E11" s="28" t="s">
        <v>103</v>
      </c>
      <c r="F11" s="4">
        <f>IF(E11=P9,Q9,IF(E11=P10,Q10,IF(E11=P11,Q11,"N/A")))</f>
        <v>3</v>
      </c>
      <c r="P11" s="2" t="s">
        <v>103</v>
      </c>
      <c r="Q11" s="3">
        <v>3</v>
      </c>
    </row>
    <row r="12" spans="2:17" ht="17.25" customHeight="1" thickTop="1" thickBot="1" x14ac:dyDescent="0.25">
      <c r="B12" s="69" t="s">
        <v>104</v>
      </c>
      <c r="C12" s="38"/>
      <c r="D12" s="39"/>
      <c r="E12" s="28" t="s">
        <v>105</v>
      </c>
      <c r="F12" s="4">
        <f>IF(E12=P12,Q12,IF(E12=P13,Q13,IF(E12=P14,Q14,"N/A")))</f>
        <v>3</v>
      </c>
      <c r="P12" s="2" t="s">
        <v>106</v>
      </c>
      <c r="Q12" s="3">
        <v>1</v>
      </c>
    </row>
    <row r="13" spans="2:17" ht="17.25" customHeight="1" thickTop="1" thickBot="1" x14ac:dyDescent="0.25">
      <c r="B13" s="69" t="s">
        <v>107</v>
      </c>
      <c r="C13" s="38"/>
      <c r="D13" s="39"/>
      <c r="E13" s="35" t="s">
        <v>108</v>
      </c>
      <c r="F13" s="4">
        <f>IF(E13=P15,Q15,IF(E13=P16,Q16,"N/A"))</f>
        <v>3</v>
      </c>
      <c r="P13" s="2" t="s">
        <v>109</v>
      </c>
      <c r="Q13" s="3">
        <v>2</v>
      </c>
    </row>
    <row r="14" spans="2:17" ht="17.25" customHeight="1" thickTop="1" thickBot="1" x14ac:dyDescent="0.25">
      <c r="B14" s="69" t="s">
        <v>110</v>
      </c>
      <c r="C14" s="38"/>
      <c r="D14" s="39"/>
      <c r="E14" s="28" t="s">
        <v>111</v>
      </c>
      <c r="F14" s="4">
        <f>IF(E14=P17,Q17,IF(E14=P18,Q18,IF(E14=P19,Q19,IF(E14=P20,Q20,"N/A"))))</f>
        <v>3</v>
      </c>
      <c r="P14" s="2" t="s">
        <v>105</v>
      </c>
      <c r="Q14" s="3">
        <v>3</v>
      </c>
    </row>
    <row r="15" spans="2:17" ht="17.25" customHeight="1" thickTop="1" thickBot="1" x14ac:dyDescent="0.25">
      <c r="B15" s="69" t="s">
        <v>112</v>
      </c>
      <c r="C15" s="38"/>
      <c r="D15" s="39"/>
      <c r="E15" s="28" t="s">
        <v>105</v>
      </c>
      <c r="F15" s="4">
        <f>IF(E15=P21,Q21,IF(E15=P22,Q22,IF(E15=P23,Q23,IF(E15=P24,Q24,"N/A"))))</f>
        <v>3</v>
      </c>
      <c r="P15" s="2" t="s">
        <v>113</v>
      </c>
      <c r="Q15" s="3">
        <v>1</v>
      </c>
    </row>
    <row r="16" spans="2:17" ht="17.25" customHeight="1" thickTop="1" thickBot="1" x14ac:dyDescent="0.25">
      <c r="B16" s="69" t="s">
        <v>114</v>
      </c>
      <c r="C16" s="38"/>
      <c r="D16" s="39"/>
      <c r="E16" s="28" t="s">
        <v>103</v>
      </c>
      <c r="F16" s="4">
        <f>IF(E16=P9,Q9,IF(E16=P10,Q10,IF(E16=P11,Q11,"N/A")))</f>
        <v>3</v>
      </c>
      <c r="P16" s="2" t="s">
        <v>108</v>
      </c>
      <c r="Q16" s="3">
        <v>3</v>
      </c>
    </row>
    <row r="17" spans="2:17" ht="17.25" customHeight="1" thickTop="1" thickBot="1" x14ac:dyDescent="0.25">
      <c r="B17" s="69" t="s">
        <v>115</v>
      </c>
      <c r="C17" s="38"/>
      <c r="D17" s="39"/>
      <c r="E17" s="28" t="s">
        <v>105</v>
      </c>
      <c r="F17" s="4">
        <f>IF(E17=P24,Q24,IF(E17=P25,Q25,IF(E17=P26,Q26,"N/A")))</f>
        <v>3</v>
      </c>
      <c r="P17" s="2" t="s">
        <v>116</v>
      </c>
      <c r="Q17" s="3">
        <v>1</v>
      </c>
    </row>
    <row r="18" spans="2:17" ht="17.25" customHeight="1" thickTop="1" thickBot="1" x14ac:dyDescent="0.25">
      <c r="B18" s="69" t="s">
        <v>117</v>
      </c>
      <c r="C18" s="38"/>
      <c r="D18" s="39"/>
      <c r="E18" s="28" t="s">
        <v>108</v>
      </c>
      <c r="F18" s="4">
        <f>IF(E18=P15,Q15,IF(E18=P16,Q16,"N/A"))</f>
        <v>3</v>
      </c>
      <c r="P18" s="2" t="s">
        <v>118</v>
      </c>
      <c r="Q18" s="3">
        <v>2</v>
      </c>
    </row>
    <row r="19" spans="2:17" ht="20" customHeight="1" thickTop="1" x14ac:dyDescent="0.2">
      <c r="P19" s="2" t="s">
        <v>111</v>
      </c>
      <c r="Q19" s="3">
        <v>3</v>
      </c>
    </row>
    <row r="20" spans="2:17" x14ac:dyDescent="0.2">
      <c r="B20" s="73" t="s">
        <v>119</v>
      </c>
      <c r="C20" s="38"/>
      <c r="D20" s="39"/>
      <c r="E20" s="21">
        <f>F20</f>
        <v>28</v>
      </c>
      <c r="F20" s="5">
        <f>SUM(F9:F18)</f>
        <v>28</v>
      </c>
      <c r="H20" s="1" t="str">
        <f>IF(E20&gt;=10,IF(E20&lt;=17,"ALTO",IF(E20&gt;=18,IF(E20&lt;=25,"MEDIO","BAJO"))))</f>
        <v>BAJO</v>
      </c>
      <c r="P20" s="2" t="s">
        <v>105</v>
      </c>
      <c r="Q20" s="3">
        <v>4</v>
      </c>
    </row>
    <row r="21" spans="2:17" ht="7.5" customHeight="1" x14ac:dyDescent="0.2">
      <c r="P21" s="2" t="s">
        <v>120</v>
      </c>
      <c r="Q21" s="3">
        <v>2</v>
      </c>
    </row>
    <row r="22" spans="2:17" ht="20" customHeight="1" x14ac:dyDescent="0.2">
      <c r="B22" s="6" t="s">
        <v>93</v>
      </c>
      <c r="C22" s="7" t="s">
        <v>121</v>
      </c>
      <c r="P22" s="2" t="s">
        <v>122</v>
      </c>
      <c r="Q22" s="3">
        <v>3</v>
      </c>
    </row>
    <row r="23" spans="2:17" ht="20" customHeight="1" x14ac:dyDescent="0.2">
      <c r="B23" s="8" t="s">
        <v>94</v>
      </c>
      <c r="C23" s="9" t="s">
        <v>123</v>
      </c>
      <c r="P23" s="2" t="s">
        <v>124</v>
      </c>
      <c r="Q23" s="3">
        <v>1</v>
      </c>
    </row>
    <row r="24" spans="2:17" ht="20" customHeight="1" x14ac:dyDescent="0.2">
      <c r="B24" s="10" t="s">
        <v>97</v>
      </c>
      <c r="C24" s="11" t="s">
        <v>125</v>
      </c>
      <c r="P24" s="2" t="s">
        <v>105</v>
      </c>
      <c r="Q24" s="3">
        <v>3</v>
      </c>
    </row>
    <row r="25" spans="2:17" x14ac:dyDescent="0.2">
      <c r="P25" s="2" t="s">
        <v>120</v>
      </c>
      <c r="Q25" s="3">
        <v>2</v>
      </c>
    </row>
    <row r="26" spans="2:17" x14ac:dyDescent="0.2">
      <c r="P26" s="1" t="s">
        <v>126</v>
      </c>
      <c r="Q26" s="3">
        <v>1</v>
      </c>
    </row>
  </sheetData>
  <mergeCells count="17">
    <mergeCell ref="B20:D20"/>
    <mergeCell ref="B8:D8"/>
    <mergeCell ref="B17:D17"/>
    <mergeCell ref="B18:D18"/>
    <mergeCell ref="B9:D9"/>
    <mergeCell ref="B10:D10"/>
    <mergeCell ref="B11:D11"/>
    <mergeCell ref="B14:D14"/>
    <mergeCell ref="B15:D15"/>
    <mergeCell ref="C3:E3"/>
    <mergeCell ref="B13:D13"/>
    <mergeCell ref="B2:E2"/>
    <mergeCell ref="B12:D12"/>
    <mergeCell ref="B16:D16"/>
    <mergeCell ref="C5:E7"/>
    <mergeCell ref="B4:E4"/>
    <mergeCell ref="B5:B7"/>
  </mergeCells>
  <conditionalFormatting sqref="E20">
    <cfRule type="cellIs" dxfId="2" priority="6" stopIfTrue="1" operator="between">
      <formula>26</formula>
      <formula>31</formula>
    </cfRule>
    <cfRule type="cellIs" dxfId="1" priority="7" stopIfTrue="1" operator="between">
      <formula>18</formula>
      <formula>25</formula>
    </cfRule>
    <cfRule type="cellIs" dxfId="0" priority="8" stopIfTrue="1" operator="between">
      <formula>10</formula>
      <formula>17</formula>
    </cfRule>
  </conditionalFormatting>
  <dataValidations count="8">
    <dataValidation type="list" allowBlank="1" showInputMessage="1" showErrorMessage="1" sqref="E17 E65512 E131048 E196584 E262120 E327656 E393192 E458728 E524264 E589800 E655336 E720872 E786408 E851944 E917480 E983016 JA17 JA65512 JA131048 JA196584 JA262120 JA327656 JA393192 JA458728 JA524264 JA589800 JA655336 JA720872 JA786408 JA851944 JA917480 JA983016 SW17 SW65512 SW131048 SW196584 SW262120 SW327656 SW393192 SW458728 SW524264 SW589800 SW655336 SW720872 SW786408 SW851944 SW917480 SW983016 ACS17 ACS65512 ACS131048 ACS196584 ACS262120 ACS327656 ACS393192 ACS458728 ACS524264 ACS589800 ACS655336 ACS720872 ACS786408 ACS851944 ACS917480 ACS983016 AMO17 AMO65512 AMO131048 AMO196584 AMO262120 AMO327656 AMO393192 AMO458728 AMO524264 AMO589800 AMO655336 AMO720872 AMO786408 AMO851944 AMO917480 AMO983016 AWK17 AWK65512 AWK131048 AWK196584 AWK262120 AWK327656 AWK393192 AWK458728 AWK524264 AWK589800 AWK655336 AWK720872 AWK786408 AWK851944 AWK917480 AWK983016 BGG17 BGG65512 BGG131048 BGG196584 BGG262120 BGG327656 BGG393192 BGG458728 BGG524264 BGG589800 BGG655336 BGG720872 BGG786408 BGG851944 BGG917480 BGG983016 BQC17 BQC65512 BQC131048 BQC196584 BQC262120 BQC327656 BQC393192 BQC458728 BQC524264 BQC589800 BQC655336 BQC720872 BQC786408 BQC851944 BQC917480 BQC983016 BZY17 BZY65512 BZY131048 BZY196584 BZY262120 BZY327656 BZY393192 BZY458728 BZY524264 BZY589800 BZY655336 BZY720872 BZY786408 BZY851944 BZY917480 BZY983016 CJU17 CJU65512 CJU131048 CJU196584 CJU262120 CJU327656 CJU393192 CJU458728 CJU524264 CJU589800 CJU655336 CJU720872 CJU786408 CJU851944 CJU917480 CJU983016 CTQ17 CTQ65512 CTQ131048 CTQ196584 CTQ262120 CTQ327656 CTQ393192 CTQ458728 CTQ524264 CTQ589800 CTQ655336 CTQ720872 CTQ786408 CTQ851944 CTQ917480 CTQ983016 DDM17 DDM65512 DDM131048 DDM196584 DDM262120 DDM327656 DDM393192 DDM458728 DDM524264 DDM589800 DDM655336 DDM720872 DDM786408 DDM851944 DDM917480 DDM983016 DNI17 DNI65512 DNI131048 DNI196584 DNI262120 DNI327656 DNI393192 DNI458728 DNI524264 DNI589800 DNI655336 DNI720872 DNI786408 DNI851944 DNI917480 DNI983016 DXE17 DXE65512 DXE131048 DXE196584 DXE262120 DXE327656 DXE393192 DXE458728 DXE524264 DXE589800 DXE655336 DXE720872 DXE786408 DXE851944 DXE917480 DXE983016 EHA17 EHA65512 EHA131048 EHA196584 EHA262120 EHA327656 EHA393192 EHA458728 EHA524264 EHA589800 EHA655336 EHA720872 EHA786408 EHA851944 EHA917480 EHA983016 EQW17 EQW65512 EQW131048 EQW196584 EQW262120 EQW327656 EQW393192 EQW458728 EQW524264 EQW589800 EQW655336 EQW720872 EQW786408 EQW851944 EQW917480 EQW983016 FAS17 FAS65512 FAS131048 FAS196584 FAS262120 FAS327656 FAS393192 FAS458728 FAS524264 FAS589800 FAS655336 FAS720872 FAS786408 FAS851944 FAS917480 FAS983016 FKO17 FKO65512 FKO131048 FKO196584 FKO262120 FKO327656 FKO393192 FKO458728 FKO524264 FKO589800 FKO655336 FKO720872 FKO786408 FKO851944 FKO917480 FKO983016 FUK17 FUK65512 FUK131048 FUK196584 FUK262120 FUK327656 FUK393192 FUK458728 FUK524264 FUK589800 FUK655336 FUK720872 FUK786408 FUK851944 FUK917480 FUK983016 GEG17 GEG65512 GEG131048 GEG196584 GEG262120 GEG327656 GEG393192 GEG458728 GEG524264 GEG589800 GEG655336 GEG720872 GEG786408 GEG851944 GEG917480 GEG983016 GOC17 GOC65512 GOC131048 GOC196584 GOC262120 GOC327656 GOC393192 GOC458728 GOC524264 GOC589800 GOC655336 GOC720872 GOC786408 GOC851944 GOC917480 GOC983016 GXY17 GXY65512 GXY131048 GXY196584 GXY262120 GXY327656 GXY393192 GXY458728 GXY524264 GXY589800 GXY655336 GXY720872 GXY786408 GXY851944 GXY917480 GXY983016 HHU17 HHU65512 HHU131048 HHU196584 HHU262120 HHU327656 HHU393192 HHU458728 HHU524264 HHU589800 HHU655336 HHU720872 HHU786408 HHU851944 HHU917480 HHU983016 HRQ17 HRQ65512 HRQ131048 HRQ196584 HRQ262120 HRQ327656 HRQ393192 HRQ458728 HRQ524264 HRQ589800 HRQ655336 HRQ720872 HRQ786408 HRQ851944 HRQ917480 HRQ983016 IBM17 IBM65512 IBM131048 IBM196584 IBM262120 IBM327656 IBM393192 IBM458728 IBM524264 IBM589800 IBM655336 IBM720872 IBM786408 IBM851944 IBM917480 IBM983016 ILI17 ILI65512 ILI131048 ILI196584 ILI262120 ILI327656 ILI393192 ILI458728 ILI524264 ILI589800 ILI655336 ILI720872 ILI786408 ILI851944 ILI917480 ILI983016 IVE17 IVE65512 IVE131048 IVE196584 IVE262120 IVE327656 IVE393192 IVE458728 IVE524264 IVE589800 IVE655336 IVE720872 IVE786408 IVE851944 IVE917480 IVE983016 JFA17 JFA65512 JFA131048 JFA196584 JFA262120 JFA327656 JFA393192 JFA458728 JFA524264 JFA589800 JFA655336 JFA720872 JFA786408 JFA851944 JFA917480 JFA983016 JOW17 JOW65512 JOW131048 JOW196584 JOW262120 JOW327656 JOW393192 JOW458728 JOW524264 JOW589800 JOW655336 JOW720872 JOW786408 JOW851944 JOW917480 JOW983016 JYS17 JYS65512 JYS131048 JYS196584 JYS262120 JYS327656 JYS393192 JYS458728 JYS524264 JYS589800 JYS655336 JYS720872 JYS786408 JYS851944 JYS917480 JYS983016 KIO17 KIO65512 KIO131048 KIO196584 KIO262120 KIO327656 KIO393192 KIO458728 KIO524264 KIO589800 KIO655336 KIO720872 KIO786408 KIO851944 KIO917480 KIO983016 KSK17 KSK65512 KSK131048 KSK196584 KSK262120 KSK327656 KSK393192 KSK458728 KSK524264 KSK589800 KSK655336 KSK720872 KSK786408 KSK851944 KSK917480 KSK983016 LCG17 LCG65512 LCG131048 LCG196584 LCG262120 LCG327656 LCG393192 LCG458728 LCG524264 LCG589800 LCG655336 LCG720872 LCG786408 LCG851944 LCG917480 LCG983016 LMC17 LMC65512 LMC131048 LMC196584 LMC262120 LMC327656 LMC393192 LMC458728 LMC524264 LMC589800 LMC655336 LMC720872 LMC786408 LMC851944 LMC917480 LMC983016 LVY17 LVY65512 LVY131048 LVY196584 LVY262120 LVY327656 LVY393192 LVY458728 LVY524264 LVY589800 LVY655336 LVY720872 LVY786408 LVY851944 LVY917480 LVY983016 MFU17 MFU65512 MFU131048 MFU196584 MFU262120 MFU327656 MFU393192 MFU458728 MFU524264 MFU589800 MFU655336 MFU720872 MFU786408 MFU851944 MFU917480 MFU983016 MPQ17 MPQ65512 MPQ131048 MPQ196584 MPQ262120 MPQ327656 MPQ393192 MPQ458728 MPQ524264 MPQ589800 MPQ655336 MPQ720872 MPQ786408 MPQ851944 MPQ917480 MPQ983016 MZM17 MZM65512 MZM131048 MZM196584 MZM262120 MZM327656 MZM393192 MZM458728 MZM524264 MZM589800 MZM655336 MZM720872 MZM786408 MZM851944 MZM917480 MZM983016 NJI17 NJI65512 NJI131048 NJI196584 NJI262120 NJI327656 NJI393192 NJI458728 NJI524264 NJI589800 NJI655336 NJI720872 NJI786408 NJI851944 NJI917480 NJI983016 NTE17 NTE65512 NTE131048 NTE196584 NTE262120 NTE327656 NTE393192 NTE458728 NTE524264 NTE589800 NTE655336 NTE720872 NTE786408 NTE851944 NTE917480 NTE983016 ODA17 ODA65512 ODA131048 ODA196584 ODA262120 ODA327656 ODA393192 ODA458728 ODA524264 ODA589800 ODA655336 ODA720872 ODA786408 ODA851944 ODA917480 ODA983016 OMW17 OMW65512 OMW131048 OMW196584 OMW262120 OMW327656 OMW393192 OMW458728 OMW524264 OMW589800 OMW655336 OMW720872 OMW786408 OMW851944 OMW917480 OMW983016 OWS17 OWS65512 OWS131048 OWS196584 OWS262120 OWS327656 OWS393192 OWS458728 OWS524264 OWS589800 OWS655336 OWS720872 OWS786408 OWS851944 OWS917480 OWS983016 PGO17 PGO65512 PGO131048 PGO196584 PGO262120 PGO327656 PGO393192 PGO458728 PGO524264 PGO589800 PGO655336 PGO720872 PGO786408 PGO851944 PGO917480 PGO983016 PQK17 PQK65512 PQK131048 PQK196584 PQK262120 PQK327656 PQK393192 PQK458728 PQK524264 PQK589800 PQK655336 PQK720872 PQK786408 PQK851944 PQK917480 PQK983016 QAG17 QAG65512 QAG131048 QAG196584 QAG262120 QAG327656 QAG393192 QAG458728 QAG524264 QAG589800 QAG655336 QAG720872 QAG786408 QAG851944 QAG917480 QAG983016 QKC17 QKC65512 QKC131048 QKC196584 QKC262120 QKC327656 QKC393192 QKC458728 QKC524264 QKC589800 QKC655336 QKC720872 QKC786408 QKC851944 QKC917480 QKC983016 QTY17 QTY65512 QTY131048 QTY196584 QTY262120 QTY327656 QTY393192 QTY458728 QTY524264 QTY589800 QTY655336 QTY720872 QTY786408 QTY851944 QTY917480 QTY983016 RDU17 RDU65512 RDU131048 RDU196584 RDU262120 RDU327656 RDU393192 RDU458728 RDU524264 RDU589800 RDU655336 RDU720872 RDU786408 RDU851944 RDU917480 RDU983016 RNQ17 RNQ65512 RNQ131048 RNQ196584 RNQ262120 RNQ327656 RNQ393192 RNQ458728 RNQ524264 RNQ589800 RNQ655336 RNQ720872 RNQ786408 RNQ851944 RNQ917480 RNQ983016 RXM17 RXM65512 RXM131048 RXM196584 RXM262120 RXM327656 RXM393192 RXM458728 RXM524264 RXM589800 RXM655336 RXM720872 RXM786408 RXM851944 RXM917480 RXM983016 SHI17 SHI65512 SHI131048 SHI196584 SHI262120 SHI327656 SHI393192 SHI458728 SHI524264 SHI589800 SHI655336 SHI720872 SHI786408 SHI851944 SHI917480 SHI983016 SRE17 SRE65512 SRE131048 SRE196584 SRE262120 SRE327656 SRE393192 SRE458728 SRE524264 SRE589800 SRE655336 SRE720872 SRE786408 SRE851944 SRE917480 SRE983016 TBA17 TBA65512 TBA131048 TBA196584 TBA262120 TBA327656 TBA393192 TBA458728 TBA524264 TBA589800 TBA655336 TBA720872 TBA786408 TBA851944 TBA917480 TBA983016 TKW17 TKW65512 TKW131048 TKW196584 TKW262120 TKW327656 TKW393192 TKW458728 TKW524264 TKW589800 TKW655336 TKW720872 TKW786408 TKW851944 TKW917480 TKW983016 TUS17 TUS65512 TUS131048 TUS196584 TUS262120 TUS327656 TUS393192 TUS458728 TUS524264 TUS589800 TUS655336 TUS720872 TUS786408 TUS851944 TUS917480 TUS983016 UEO17 UEO65512 UEO131048 UEO196584 UEO262120 UEO327656 UEO393192 UEO458728 UEO524264 UEO589800 UEO655336 UEO720872 UEO786408 UEO851944 UEO917480 UEO983016 UOK17 UOK65512 UOK131048 UOK196584 UOK262120 UOK327656 UOK393192 UOK458728 UOK524264 UOK589800 UOK655336 UOK720872 UOK786408 UOK851944 UOK917480 UOK983016 UYG17 UYG65512 UYG131048 UYG196584 UYG262120 UYG327656 UYG393192 UYG458728 UYG524264 UYG589800 UYG655336 UYG720872 UYG786408 UYG851944 UYG917480 UYG983016 VIC17 VIC65512 VIC131048 VIC196584 VIC262120 VIC327656 VIC393192 VIC458728 VIC524264 VIC589800 VIC655336 VIC720872 VIC786408 VIC851944 VIC917480 VIC983016 VRY17 VRY65512 VRY131048 VRY196584 VRY262120 VRY327656 VRY393192 VRY458728 VRY524264 VRY589800 VRY655336 VRY720872 VRY786408 VRY851944 VRY917480 VRY983016 WBU17 WBU65512 WBU131048 WBU196584 WBU262120 WBU327656 WBU393192 WBU458728 WBU524264 WBU589800 WBU655336 WBU720872 WBU786408 WBU851944 WBU917480 WBU983016 WLQ17 WLQ65512 WLQ131048 WLQ196584 WLQ262120 WLQ327656 WLQ393192 WLQ458728 WLQ524264 WLQ589800 WLQ655336 WLQ720872 WLQ786408 WLQ851944 WLQ917480 WLQ983016 WVM17 WVM65512 WVM131048 WVM196584 WVM262120 WVM327656 WVM393192 WVM458728 WVM524264 WVM589800 WVM655336 WVM720872 WVM786408 WVM851944 WVM917480 WVM983016" xr:uid="{00000000-0002-0000-0100-000000000000}">
      <formula1>$P$24:$P$26</formula1>
    </dataValidation>
    <dataValidation type="list" allowBlank="1" showInputMessage="1" showErrorMessage="1" sqref="E15 E65510 E131046 E196582 E262118 E327654 E393190 E458726 E524262 E589798 E655334 E720870 E786406 E851942 E917478 E983014 JA15 JA65510 JA131046 JA196582 JA262118 JA327654 JA393190 JA458726 JA524262 JA589798 JA655334 JA720870 JA786406 JA851942 JA917478 JA983014 SW15 SW65510 SW131046 SW196582 SW262118 SW327654 SW393190 SW458726 SW524262 SW589798 SW655334 SW720870 SW786406 SW851942 SW917478 SW983014 ACS15 ACS65510 ACS131046 ACS196582 ACS262118 ACS327654 ACS393190 ACS458726 ACS524262 ACS589798 ACS655334 ACS720870 ACS786406 ACS851942 ACS917478 ACS983014 AMO15 AMO65510 AMO131046 AMO196582 AMO262118 AMO327654 AMO393190 AMO458726 AMO524262 AMO589798 AMO655334 AMO720870 AMO786406 AMO851942 AMO917478 AMO983014 AWK15 AWK65510 AWK131046 AWK196582 AWK262118 AWK327654 AWK393190 AWK458726 AWK524262 AWK589798 AWK655334 AWK720870 AWK786406 AWK851942 AWK917478 AWK983014 BGG15 BGG65510 BGG131046 BGG196582 BGG262118 BGG327654 BGG393190 BGG458726 BGG524262 BGG589798 BGG655334 BGG720870 BGG786406 BGG851942 BGG917478 BGG983014 BQC15 BQC65510 BQC131046 BQC196582 BQC262118 BQC327654 BQC393190 BQC458726 BQC524262 BQC589798 BQC655334 BQC720870 BQC786406 BQC851942 BQC917478 BQC983014 BZY15 BZY65510 BZY131046 BZY196582 BZY262118 BZY327654 BZY393190 BZY458726 BZY524262 BZY589798 BZY655334 BZY720870 BZY786406 BZY851942 BZY917478 BZY983014 CJU15 CJU65510 CJU131046 CJU196582 CJU262118 CJU327654 CJU393190 CJU458726 CJU524262 CJU589798 CJU655334 CJU720870 CJU786406 CJU851942 CJU917478 CJU983014 CTQ15 CTQ65510 CTQ131046 CTQ196582 CTQ262118 CTQ327654 CTQ393190 CTQ458726 CTQ524262 CTQ589798 CTQ655334 CTQ720870 CTQ786406 CTQ851942 CTQ917478 CTQ983014 DDM15 DDM65510 DDM131046 DDM196582 DDM262118 DDM327654 DDM393190 DDM458726 DDM524262 DDM589798 DDM655334 DDM720870 DDM786406 DDM851942 DDM917478 DDM983014 DNI15 DNI65510 DNI131046 DNI196582 DNI262118 DNI327654 DNI393190 DNI458726 DNI524262 DNI589798 DNI655334 DNI720870 DNI786406 DNI851942 DNI917478 DNI983014 DXE15 DXE65510 DXE131046 DXE196582 DXE262118 DXE327654 DXE393190 DXE458726 DXE524262 DXE589798 DXE655334 DXE720870 DXE786406 DXE851942 DXE917478 DXE983014 EHA15 EHA65510 EHA131046 EHA196582 EHA262118 EHA327654 EHA393190 EHA458726 EHA524262 EHA589798 EHA655334 EHA720870 EHA786406 EHA851942 EHA917478 EHA983014 EQW15 EQW65510 EQW131046 EQW196582 EQW262118 EQW327654 EQW393190 EQW458726 EQW524262 EQW589798 EQW655334 EQW720870 EQW786406 EQW851942 EQW917478 EQW983014 FAS15 FAS65510 FAS131046 FAS196582 FAS262118 FAS327654 FAS393190 FAS458726 FAS524262 FAS589798 FAS655334 FAS720870 FAS786406 FAS851942 FAS917478 FAS983014 FKO15 FKO65510 FKO131046 FKO196582 FKO262118 FKO327654 FKO393190 FKO458726 FKO524262 FKO589798 FKO655334 FKO720870 FKO786406 FKO851942 FKO917478 FKO983014 FUK15 FUK65510 FUK131046 FUK196582 FUK262118 FUK327654 FUK393190 FUK458726 FUK524262 FUK589798 FUK655334 FUK720870 FUK786406 FUK851942 FUK917478 FUK983014 GEG15 GEG65510 GEG131046 GEG196582 GEG262118 GEG327654 GEG393190 GEG458726 GEG524262 GEG589798 GEG655334 GEG720870 GEG786406 GEG851942 GEG917478 GEG983014 GOC15 GOC65510 GOC131046 GOC196582 GOC262118 GOC327654 GOC393190 GOC458726 GOC524262 GOC589798 GOC655334 GOC720870 GOC786406 GOC851942 GOC917478 GOC983014 GXY15 GXY65510 GXY131046 GXY196582 GXY262118 GXY327654 GXY393190 GXY458726 GXY524262 GXY589798 GXY655334 GXY720870 GXY786406 GXY851942 GXY917478 GXY983014 HHU15 HHU65510 HHU131046 HHU196582 HHU262118 HHU327654 HHU393190 HHU458726 HHU524262 HHU589798 HHU655334 HHU720870 HHU786406 HHU851942 HHU917478 HHU983014 HRQ15 HRQ65510 HRQ131046 HRQ196582 HRQ262118 HRQ327654 HRQ393190 HRQ458726 HRQ524262 HRQ589798 HRQ655334 HRQ720870 HRQ786406 HRQ851942 HRQ917478 HRQ983014 IBM15 IBM65510 IBM131046 IBM196582 IBM262118 IBM327654 IBM393190 IBM458726 IBM524262 IBM589798 IBM655334 IBM720870 IBM786406 IBM851942 IBM917478 IBM983014 ILI15 ILI65510 ILI131046 ILI196582 ILI262118 ILI327654 ILI393190 ILI458726 ILI524262 ILI589798 ILI655334 ILI720870 ILI786406 ILI851942 ILI917478 ILI983014 IVE15 IVE65510 IVE131046 IVE196582 IVE262118 IVE327654 IVE393190 IVE458726 IVE524262 IVE589798 IVE655334 IVE720870 IVE786406 IVE851942 IVE917478 IVE983014 JFA15 JFA65510 JFA131046 JFA196582 JFA262118 JFA327654 JFA393190 JFA458726 JFA524262 JFA589798 JFA655334 JFA720870 JFA786406 JFA851942 JFA917478 JFA983014 JOW15 JOW65510 JOW131046 JOW196582 JOW262118 JOW327654 JOW393190 JOW458726 JOW524262 JOW589798 JOW655334 JOW720870 JOW786406 JOW851942 JOW917478 JOW983014 JYS15 JYS65510 JYS131046 JYS196582 JYS262118 JYS327654 JYS393190 JYS458726 JYS524262 JYS589798 JYS655334 JYS720870 JYS786406 JYS851942 JYS917478 JYS983014 KIO15 KIO65510 KIO131046 KIO196582 KIO262118 KIO327654 KIO393190 KIO458726 KIO524262 KIO589798 KIO655334 KIO720870 KIO786406 KIO851942 KIO917478 KIO983014 KSK15 KSK65510 KSK131046 KSK196582 KSK262118 KSK327654 KSK393190 KSK458726 KSK524262 KSK589798 KSK655334 KSK720870 KSK786406 KSK851942 KSK917478 KSK983014 LCG15 LCG65510 LCG131046 LCG196582 LCG262118 LCG327654 LCG393190 LCG458726 LCG524262 LCG589798 LCG655334 LCG720870 LCG786406 LCG851942 LCG917478 LCG983014 LMC15 LMC65510 LMC131046 LMC196582 LMC262118 LMC327654 LMC393190 LMC458726 LMC524262 LMC589798 LMC655334 LMC720870 LMC786406 LMC851942 LMC917478 LMC983014 LVY15 LVY65510 LVY131046 LVY196582 LVY262118 LVY327654 LVY393190 LVY458726 LVY524262 LVY589798 LVY655334 LVY720870 LVY786406 LVY851942 LVY917478 LVY983014 MFU15 MFU65510 MFU131046 MFU196582 MFU262118 MFU327654 MFU393190 MFU458726 MFU524262 MFU589798 MFU655334 MFU720870 MFU786406 MFU851942 MFU917478 MFU983014 MPQ15 MPQ65510 MPQ131046 MPQ196582 MPQ262118 MPQ327654 MPQ393190 MPQ458726 MPQ524262 MPQ589798 MPQ655334 MPQ720870 MPQ786406 MPQ851942 MPQ917478 MPQ983014 MZM15 MZM65510 MZM131046 MZM196582 MZM262118 MZM327654 MZM393190 MZM458726 MZM524262 MZM589798 MZM655334 MZM720870 MZM786406 MZM851942 MZM917478 MZM983014 NJI15 NJI65510 NJI131046 NJI196582 NJI262118 NJI327654 NJI393190 NJI458726 NJI524262 NJI589798 NJI655334 NJI720870 NJI786406 NJI851942 NJI917478 NJI983014 NTE15 NTE65510 NTE131046 NTE196582 NTE262118 NTE327654 NTE393190 NTE458726 NTE524262 NTE589798 NTE655334 NTE720870 NTE786406 NTE851942 NTE917478 NTE983014 ODA15 ODA65510 ODA131046 ODA196582 ODA262118 ODA327654 ODA393190 ODA458726 ODA524262 ODA589798 ODA655334 ODA720870 ODA786406 ODA851942 ODA917478 ODA983014 OMW15 OMW65510 OMW131046 OMW196582 OMW262118 OMW327654 OMW393190 OMW458726 OMW524262 OMW589798 OMW655334 OMW720870 OMW786406 OMW851942 OMW917478 OMW983014 OWS15 OWS65510 OWS131046 OWS196582 OWS262118 OWS327654 OWS393190 OWS458726 OWS524262 OWS589798 OWS655334 OWS720870 OWS786406 OWS851942 OWS917478 OWS983014 PGO15 PGO65510 PGO131046 PGO196582 PGO262118 PGO327654 PGO393190 PGO458726 PGO524262 PGO589798 PGO655334 PGO720870 PGO786406 PGO851942 PGO917478 PGO983014 PQK15 PQK65510 PQK131046 PQK196582 PQK262118 PQK327654 PQK393190 PQK458726 PQK524262 PQK589798 PQK655334 PQK720870 PQK786406 PQK851942 PQK917478 PQK983014 QAG15 QAG65510 QAG131046 QAG196582 QAG262118 QAG327654 QAG393190 QAG458726 QAG524262 QAG589798 QAG655334 QAG720870 QAG786406 QAG851942 QAG917478 QAG983014 QKC15 QKC65510 QKC131046 QKC196582 QKC262118 QKC327654 QKC393190 QKC458726 QKC524262 QKC589798 QKC655334 QKC720870 QKC786406 QKC851942 QKC917478 QKC983014 QTY15 QTY65510 QTY131046 QTY196582 QTY262118 QTY327654 QTY393190 QTY458726 QTY524262 QTY589798 QTY655334 QTY720870 QTY786406 QTY851942 QTY917478 QTY983014 RDU15 RDU65510 RDU131046 RDU196582 RDU262118 RDU327654 RDU393190 RDU458726 RDU524262 RDU589798 RDU655334 RDU720870 RDU786406 RDU851942 RDU917478 RDU983014 RNQ15 RNQ65510 RNQ131046 RNQ196582 RNQ262118 RNQ327654 RNQ393190 RNQ458726 RNQ524262 RNQ589798 RNQ655334 RNQ720870 RNQ786406 RNQ851942 RNQ917478 RNQ983014 RXM15 RXM65510 RXM131046 RXM196582 RXM262118 RXM327654 RXM393190 RXM458726 RXM524262 RXM589798 RXM655334 RXM720870 RXM786406 RXM851942 RXM917478 RXM983014 SHI15 SHI65510 SHI131046 SHI196582 SHI262118 SHI327654 SHI393190 SHI458726 SHI524262 SHI589798 SHI655334 SHI720870 SHI786406 SHI851942 SHI917478 SHI983014 SRE15 SRE65510 SRE131046 SRE196582 SRE262118 SRE327654 SRE393190 SRE458726 SRE524262 SRE589798 SRE655334 SRE720870 SRE786406 SRE851942 SRE917478 SRE983014 TBA15 TBA65510 TBA131046 TBA196582 TBA262118 TBA327654 TBA393190 TBA458726 TBA524262 TBA589798 TBA655334 TBA720870 TBA786406 TBA851942 TBA917478 TBA983014 TKW15 TKW65510 TKW131046 TKW196582 TKW262118 TKW327654 TKW393190 TKW458726 TKW524262 TKW589798 TKW655334 TKW720870 TKW786406 TKW851942 TKW917478 TKW983014 TUS15 TUS65510 TUS131046 TUS196582 TUS262118 TUS327654 TUS393190 TUS458726 TUS524262 TUS589798 TUS655334 TUS720870 TUS786406 TUS851942 TUS917478 TUS983014 UEO15 UEO65510 UEO131046 UEO196582 UEO262118 UEO327654 UEO393190 UEO458726 UEO524262 UEO589798 UEO655334 UEO720870 UEO786406 UEO851942 UEO917478 UEO983014 UOK15 UOK65510 UOK131046 UOK196582 UOK262118 UOK327654 UOK393190 UOK458726 UOK524262 UOK589798 UOK655334 UOK720870 UOK786406 UOK851942 UOK917478 UOK983014 UYG15 UYG65510 UYG131046 UYG196582 UYG262118 UYG327654 UYG393190 UYG458726 UYG524262 UYG589798 UYG655334 UYG720870 UYG786406 UYG851942 UYG917478 UYG983014 VIC15 VIC65510 VIC131046 VIC196582 VIC262118 VIC327654 VIC393190 VIC458726 VIC524262 VIC589798 VIC655334 VIC720870 VIC786406 VIC851942 VIC917478 VIC983014 VRY15 VRY65510 VRY131046 VRY196582 VRY262118 VRY327654 VRY393190 VRY458726 VRY524262 VRY589798 VRY655334 VRY720870 VRY786406 VRY851942 VRY917478 VRY983014 WBU15 WBU65510 WBU131046 WBU196582 WBU262118 WBU327654 WBU393190 WBU458726 WBU524262 WBU589798 WBU655334 WBU720870 WBU786406 WBU851942 WBU917478 WBU983014 WLQ15 WLQ65510 WLQ131046 WLQ196582 WLQ262118 WLQ327654 WLQ393190 WLQ458726 WLQ524262 WLQ589798 WLQ655334 WLQ720870 WLQ786406 WLQ851942 WLQ917478 WLQ983014 WVM15 WVM65510 WVM131046 WVM196582 WVM262118 WVM327654 WVM393190 WVM458726 WVM524262 WVM589798 WVM655334 WVM720870 WVM786406 WVM851942 WVM917478 WVM983014" xr:uid="{00000000-0002-0000-0100-000001000000}">
      <formula1>$P$20:$P$23</formula1>
    </dataValidation>
    <dataValidation type="list" allowBlank="1" showInputMessage="1" showErrorMessage="1" sqref="E14 E65509 E131045 E196581 E262117 E327653 E393189 E458725 E524261 E589797 E655333 E720869 E786405 E851941 E917477 E983013 JA14 JA65509 JA131045 JA196581 JA262117 JA327653 JA393189 JA458725 JA524261 JA589797 JA655333 JA720869 JA786405 JA851941 JA917477 JA983013 SW14 SW65509 SW131045 SW196581 SW262117 SW327653 SW393189 SW458725 SW524261 SW589797 SW655333 SW720869 SW786405 SW851941 SW917477 SW983013 ACS14 ACS65509 ACS131045 ACS196581 ACS262117 ACS327653 ACS393189 ACS458725 ACS524261 ACS589797 ACS655333 ACS720869 ACS786405 ACS851941 ACS917477 ACS983013 AMO14 AMO65509 AMO131045 AMO196581 AMO262117 AMO327653 AMO393189 AMO458725 AMO524261 AMO589797 AMO655333 AMO720869 AMO786405 AMO851941 AMO917477 AMO983013 AWK14 AWK65509 AWK131045 AWK196581 AWK262117 AWK327653 AWK393189 AWK458725 AWK524261 AWK589797 AWK655333 AWK720869 AWK786405 AWK851941 AWK917477 AWK983013 BGG14 BGG65509 BGG131045 BGG196581 BGG262117 BGG327653 BGG393189 BGG458725 BGG524261 BGG589797 BGG655333 BGG720869 BGG786405 BGG851941 BGG917477 BGG983013 BQC14 BQC65509 BQC131045 BQC196581 BQC262117 BQC327653 BQC393189 BQC458725 BQC524261 BQC589797 BQC655333 BQC720869 BQC786405 BQC851941 BQC917477 BQC983013 BZY14 BZY65509 BZY131045 BZY196581 BZY262117 BZY327653 BZY393189 BZY458725 BZY524261 BZY589797 BZY655333 BZY720869 BZY786405 BZY851941 BZY917477 BZY983013 CJU14 CJU65509 CJU131045 CJU196581 CJU262117 CJU327653 CJU393189 CJU458725 CJU524261 CJU589797 CJU655333 CJU720869 CJU786405 CJU851941 CJU917477 CJU983013 CTQ14 CTQ65509 CTQ131045 CTQ196581 CTQ262117 CTQ327653 CTQ393189 CTQ458725 CTQ524261 CTQ589797 CTQ655333 CTQ720869 CTQ786405 CTQ851941 CTQ917477 CTQ983013 DDM14 DDM65509 DDM131045 DDM196581 DDM262117 DDM327653 DDM393189 DDM458725 DDM524261 DDM589797 DDM655333 DDM720869 DDM786405 DDM851941 DDM917477 DDM983013 DNI14 DNI65509 DNI131045 DNI196581 DNI262117 DNI327653 DNI393189 DNI458725 DNI524261 DNI589797 DNI655333 DNI720869 DNI786405 DNI851941 DNI917477 DNI983013 DXE14 DXE65509 DXE131045 DXE196581 DXE262117 DXE327653 DXE393189 DXE458725 DXE524261 DXE589797 DXE655333 DXE720869 DXE786405 DXE851941 DXE917477 DXE983013 EHA14 EHA65509 EHA131045 EHA196581 EHA262117 EHA327653 EHA393189 EHA458725 EHA524261 EHA589797 EHA655333 EHA720869 EHA786405 EHA851941 EHA917477 EHA983013 EQW14 EQW65509 EQW131045 EQW196581 EQW262117 EQW327653 EQW393189 EQW458725 EQW524261 EQW589797 EQW655333 EQW720869 EQW786405 EQW851941 EQW917477 EQW983013 FAS14 FAS65509 FAS131045 FAS196581 FAS262117 FAS327653 FAS393189 FAS458725 FAS524261 FAS589797 FAS655333 FAS720869 FAS786405 FAS851941 FAS917477 FAS983013 FKO14 FKO65509 FKO131045 FKO196581 FKO262117 FKO327653 FKO393189 FKO458725 FKO524261 FKO589797 FKO655333 FKO720869 FKO786405 FKO851941 FKO917477 FKO983013 FUK14 FUK65509 FUK131045 FUK196581 FUK262117 FUK327653 FUK393189 FUK458725 FUK524261 FUK589797 FUK655333 FUK720869 FUK786405 FUK851941 FUK917477 FUK983013 GEG14 GEG65509 GEG131045 GEG196581 GEG262117 GEG327653 GEG393189 GEG458725 GEG524261 GEG589797 GEG655333 GEG720869 GEG786405 GEG851941 GEG917477 GEG983013 GOC14 GOC65509 GOC131045 GOC196581 GOC262117 GOC327653 GOC393189 GOC458725 GOC524261 GOC589797 GOC655333 GOC720869 GOC786405 GOC851941 GOC917477 GOC983013 GXY14 GXY65509 GXY131045 GXY196581 GXY262117 GXY327653 GXY393189 GXY458725 GXY524261 GXY589797 GXY655333 GXY720869 GXY786405 GXY851941 GXY917477 GXY983013 HHU14 HHU65509 HHU131045 HHU196581 HHU262117 HHU327653 HHU393189 HHU458725 HHU524261 HHU589797 HHU655333 HHU720869 HHU786405 HHU851941 HHU917477 HHU983013 HRQ14 HRQ65509 HRQ131045 HRQ196581 HRQ262117 HRQ327653 HRQ393189 HRQ458725 HRQ524261 HRQ589797 HRQ655333 HRQ720869 HRQ786405 HRQ851941 HRQ917477 HRQ983013 IBM14 IBM65509 IBM131045 IBM196581 IBM262117 IBM327653 IBM393189 IBM458725 IBM524261 IBM589797 IBM655333 IBM720869 IBM786405 IBM851941 IBM917477 IBM983013 ILI14 ILI65509 ILI131045 ILI196581 ILI262117 ILI327653 ILI393189 ILI458725 ILI524261 ILI589797 ILI655333 ILI720869 ILI786405 ILI851941 ILI917477 ILI983013 IVE14 IVE65509 IVE131045 IVE196581 IVE262117 IVE327653 IVE393189 IVE458725 IVE524261 IVE589797 IVE655333 IVE720869 IVE786405 IVE851941 IVE917477 IVE983013 JFA14 JFA65509 JFA131045 JFA196581 JFA262117 JFA327653 JFA393189 JFA458725 JFA524261 JFA589797 JFA655333 JFA720869 JFA786405 JFA851941 JFA917477 JFA983013 JOW14 JOW65509 JOW131045 JOW196581 JOW262117 JOW327653 JOW393189 JOW458725 JOW524261 JOW589797 JOW655333 JOW720869 JOW786405 JOW851941 JOW917477 JOW983013 JYS14 JYS65509 JYS131045 JYS196581 JYS262117 JYS327653 JYS393189 JYS458725 JYS524261 JYS589797 JYS655333 JYS720869 JYS786405 JYS851941 JYS917477 JYS983013 KIO14 KIO65509 KIO131045 KIO196581 KIO262117 KIO327653 KIO393189 KIO458725 KIO524261 KIO589797 KIO655333 KIO720869 KIO786405 KIO851941 KIO917477 KIO983013 KSK14 KSK65509 KSK131045 KSK196581 KSK262117 KSK327653 KSK393189 KSK458725 KSK524261 KSK589797 KSK655333 KSK720869 KSK786405 KSK851941 KSK917477 KSK983013 LCG14 LCG65509 LCG131045 LCG196581 LCG262117 LCG327653 LCG393189 LCG458725 LCG524261 LCG589797 LCG655333 LCG720869 LCG786405 LCG851941 LCG917477 LCG983013 LMC14 LMC65509 LMC131045 LMC196581 LMC262117 LMC327653 LMC393189 LMC458725 LMC524261 LMC589797 LMC655333 LMC720869 LMC786405 LMC851941 LMC917477 LMC983013 LVY14 LVY65509 LVY131045 LVY196581 LVY262117 LVY327653 LVY393189 LVY458725 LVY524261 LVY589797 LVY655333 LVY720869 LVY786405 LVY851941 LVY917477 LVY983013 MFU14 MFU65509 MFU131045 MFU196581 MFU262117 MFU327653 MFU393189 MFU458725 MFU524261 MFU589797 MFU655333 MFU720869 MFU786405 MFU851941 MFU917477 MFU983013 MPQ14 MPQ65509 MPQ131045 MPQ196581 MPQ262117 MPQ327653 MPQ393189 MPQ458725 MPQ524261 MPQ589797 MPQ655333 MPQ720869 MPQ786405 MPQ851941 MPQ917477 MPQ983013 MZM14 MZM65509 MZM131045 MZM196581 MZM262117 MZM327653 MZM393189 MZM458725 MZM524261 MZM589797 MZM655333 MZM720869 MZM786405 MZM851941 MZM917477 MZM983013 NJI14 NJI65509 NJI131045 NJI196581 NJI262117 NJI327653 NJI393189 NJI458725 NJI524261 NJI589797 NJI655333 NJI720869 NJI786405 NJI851941 NJI917477 NJI983013 NTE14 NTE65509 NTE131045 NTE196581 NTE262117 NTE327653 NTE393189 NTE458725 NTE524261 NTE589797 NTE655333 NTE720869 NTE786405 NTE851941 NTE917477 NTE983013 ODA14 ODA65509 ODA131045 ODA196581 ODA262117 ODA327653 ODA393189 ODA458725 ODA524261 ODA589797 ODA655333 ODA720869 ODA786405 ODA851941 ODA917477 ODA983013 OMW14 OMW65509 OMW131045 OMW196581 OMW262117 OMW327653 OMW393189 OMW458725 OMW524261 OMW589797 OMW655333 OMW720869 OMW786405 OMW851941 OMW917477 OMW983013 OWS14 OWS65509 OWS131045 OWS196581 OWS262117 OWS327653 OWS393189 OWS458725 OWS524261 OWS589797 OWS655333 OWS720869 OWS786405 OWS851941 OWS917477 OWS983013 PGO14 PGO65509 PGO131045 PGO196581 PGO262117 PGO327653 PGO393189 PGO458725 PGO524261 PGO589797 PGO655333 PGO720869 PGO786405 PGO851941 PGO917477 PGO983013 PQK14 PQK65509 PQK131045 PQK196581 PQK262117 PQK327653 PQK393189 PQK458725 PQK524261 PQK589797 PQK655333 PQK720869 PQK786405 PQK851941 PQK917477 PQK983013 QAG14 QAG65509 QAG131045 QAG196581 QAG262117 QAG327653 QAG393189 QAG458725 QAG524261 QAG589797 QAG655333 QAG720869 QAG786405 QAG851941 QAG917477 QAG983013 QKC14 QKC65509 QKC131045 QKC196581 QKC262117 QKC327653 QKC393189 QKC458725 QKC524261 QKC589797 QKC655333 QKC720869 QKC786405 QKC851941 QKC917477 QKC983013 QTY14 QTY65509 QTY131045 QTY196581 QTY262117 QTY327653 QTY393189 QTY458725 QTY524261 QTY589797 QTY655333 QTY720869 QTY786405 QTY851941 QTY917477 QTY983013 RDU14 RDU65509 RDU131045 RDU196581 RDU262117 RDU327653 RDU393189 RDU458725 RDU524261 RDU589797 RDU655333 RDU720869 RDU786405 RDU851941 RDU917477 RDU983013 RNQ14 RNQ65509 RNQ131045 RNQ196581 RNQ262117 RNQ327653 RNQ393189 RNQ458725 RNQ524261 RNQ589797 RNQ655333 RNQ720869 RNQ786405 RNQ851941 RNQ917477 RNQ983013 RXM14 RXM65509 RXM131045 RXM196581 RXM262117 RXM327653 RXM393189 RXM458725 RXM524261 RXM589797 RXM655333 RXM720869 RXM786405 RXM851941 RXM917477 RXM983013 SHI14 SHI65509 SHI131045 SHI196581 SHI262117 SHI327653 SHI393189 SHI458725 SHI524261 SHI589797 SHI655333 SHI720869 SHI786405 SHI851941 SHI917477 SHI983013 SRE14 SRE65509 SRE131045 SRE196581 SRE262117 SRE327653 SRE393189 SRE458725 SRE524261 SRE589797 SRE655333 SRE720869 SRE786405 SRE851941 SRE917477 SRE983013 TBA14 TBA65509 TBA131045 TBA196581 TBA262117 TBA327653 TBA393189 TBA458725 TBA524261 TBA589797 TBA655333 TBA720869 TBA786405 TBA851941 TBA917477 TBA983013 TKW14 TKW65509 TKW131045 TKW196581 TKW262117 TKW327653 TKW393189 TKW458725 TKW524261 TKW589797 TKW655333 TKW720869 TKW786405 TKW851941 TKW917477 TKW983013 TUS14 TUS65509 TUS131045 TUS196581 TUS262117 TUS327653 TUS393189 TUS458725 TUS524261 TUS589797 TUS655333 TUS720869 TUS786405 TUS851941 TUS917477 TUS983013 UEO14 UEO65509 UEO131045 UEO196581 UEO262117 UEO327653 UEO393189 UEO458725 UEO524261 UEO589797 UEO655333 UEO720869 UEO786405 UEO851941 UEO917477 UEO983013 UOK14 UOK65509 UOK131045 UOK196581 UOK262117 UOK327653 UOK393189 UOK458725 UOK524261 UOK589797 UOK655333 UOK720869 UOK786405 UOK851941 UOK917477 UOK983013 UYG14 UYG65509 UYG131045 UYG196581 UYG262117 UYG327653 UYG393189 UYG458725 UYG524261 UYG589797 UYG655333 UYG720869 UYG786405 UYG851941 UYG917477 UYG983013 VIC14 VIC65509 VIC131045 VIC196581 VIC262117 VIC327653 VIC393189 VIC458725 VIC524261 VIC589797 VIC655333 VIC720869 VIC786405 VIC851941 VIC917477 VIC983013 VRY14 VRY65509 VRY131045 VRY196581 VRY262117 VRY327653 VRY393189 VRY458725 VRY524261 VRY589797 VRY655333 VRY720869 VRY786405 VRY851941 VRY917477 VRY983013 WBU14 WBU65509 WBU131045 WBU196581 WBU262117 WBU327653 WBU393189 WBU458725 WBU524261 WBU589797 WBU655333 WBU720869 WBU786405 WBU851941 WBU917477 WBU983013 WLQ14 WLQ65509 WLQ131045 WLQ196581 WLQ262117 WLQ327653 WLQ393189 WLQ458725 WLQ524261 WLQ589797 WLQ655333 WLQ720869 WLQ786405 WLQ851941 WLQ917477 WLQ983013 WVM14 WVM65509 WVM131045 WVM196581 WVM262117 WVM327653 WVM393189 WVM458725 WVM524261 WVM589797 WVM655333 WVM720869 WVM786405 WVM851941 WVM917477 WVM983013" xr:uid="{00000000-0002-0000-0100-000002000000}">
      <formula1>$P$17:$P$19</formula1>
    </dataValidation>
    <dataValidation type="list" allowBlank="1" showInputMessage="1" showErrorMessage="1" sqref="E12 E65507 E131043 E196579 E262115 E327651 E393187 E458723 E524259 E589795 E655331 E720867 E786403 E851939 E917475 E983011 JA12 JA65507 JA131043 JA196579 JA262115 JA327651 JA393187 JA458723 JA524259 JA589795 JA655331 JA720867 JA786403 JA851939 JA917475 JA983011 SW12 SW65507 SW131043 SW196579 SW262115 SW327651 SW393187 SW458723 SW524259 SW589795 SW655331 SW720867 SW786403 SW851939 SW917475 SW983011 ACS12 ACS65507 ACS131043 ACS196579 ACS262115 ACS327651 ACS393187 ACS458723 ACS524259 ACS589795 ACS655331 ACS720867 ACS786403 ACS851939 ACS917475 ACS983011 AMO12 AMO65507 AMO131043 AMO196579 AMO262115 AMO327651 AMO393187 AMO458723 AMO524259 AMO589795 AMO655331 AMO720867 AMO786403 AMO851939 AMO917475 AMO983011 AWK12 AWK65507 AWK131043 AWK196579 AWK262115 AWK327651 AWK393187 AWK458723 AWK524259 AWK589795 AWK655331 AWK720867 AWK786403 AWK851939 AWK917475 AWK983011 BGG12 BGG65507 BGG131043 BGG196579 BGG262115 BGG327651 BGG393187 BGG458723 BGG524259 BGG589795 BGG655331 BGG720867 BGG786403 BGG851939 BGG917475 BGG983011 BQC12 BQC65507 BQC131043 BQC196579 BQC262115 BQC327651 BQC393187 BQC458723 BQC524259 BQC589795 BQC655331 BQC720867 BQC786403 BQC851939 BQC917475 BQC983011 BZY12 BZY65507 BZY131043 BZY196579 BZY262115 BZY327651 BZY393187 BZY458723 BZY524259 BZY589795 BZY655331 BZY720867 BZY786403 BZY851939 BZY917475 BZY983011 CJU12 CJU65507 CJU131043 CJU196579 CJU262115 CJU327651 CJU393187 CJU458723 CJU524259 CJU589795 CJU655331 CJU720867 CJU786403 CJU851939 CJU917475 CJU983011 CTQ12 CTQ65507 CTQ131043 CTQ196579 CTQ262115 CTQ327651 CTQ393187 CTQ458723 CTQ524259 CTQ589795 CTQ655331 CTQ720867 CTQ786403 CTQ851939 CTQ917475 CTQ983011 DDM12 DDM65507 DDM131043 DDM196579 DDM262115 DDM327651 DDM393187 DDM458723 DDM524259 DDM589795 DDM655331 DDM720867 DDM786403 DDM851939 DDM917475 DDM983011 DNI12 DNI65507 DNI131043 DNI196579 DNI262115 DNI327651 DNI393187 DNI458723 DNI524259 DNI589795 DNI655331 DNI720867 DNI786403 DNI851939 DNI917475 DNI983011 DXE12 DXE65507 DXE131043 DXE196579 DXE262115 DXE327651 DXE393187 DXE458723 DXE524259 DXE589795 DXE655331 DXE720867 DXE786403 DXE851939 DXE917475 DXE983011 EHA12 EHA65507 EHA131043 EHA196579 EHA262115 EHA327651 EHA393187 EHA458723 EHA524259 EHA589795 EHA655331 EHA720867 EHA786403 EHA851939 EHA917475 EHA983011 EQW12 EQW65507 EQW131043 EQW196579 EQW262115 EQW327651 EQW393187 EQW458723 EQW524259 EQW589795 EQW655331 EQW720867 EQW786403 EQW851939 EQW917475 EQW983011 FAS12 FAS65507 FAS131043 FAS196579 FAS262115 FAS327651 FAS393187 FAS458723 FAS524259 FAS589795 FAS655331 FAS720867 FAS786403 FAS851939 FAS917475 FAS983011 FKO12 FKO65507 FKO131043 FKO196579 FKO262115 FKO327651 FKO393187 FKO458723 FKO524259 FKO589795 FKO655331 FKO720867 FKO786403 FKO851939 FKO917475 FKO983011 FUK12 FUK65507 FUK131043 FUK196579 FUK262115 FUK327651 FUK393187 FUK458723 FUK524259 FUK589795 FUK655331 FUK720867 FUK786403 FUK851939 FUK917475 FUK983011 GEG12 GEG65507 GEG131043 GEG196579 GEG262115 GEG327651 GEG393187 GEG458723 GEG524259 GEG589795 GEG655331 GEG720867 GEG786403 GEG851939 GEG917475 GEG983011 GOC12 GOC65507 GOC131043 GOC196579 GOC262115 GOC327651 GOC393187 GOC458723 GOC524259 GOC589795 GOC655331 GOC720867 GOC786403 GOC851939 GOC917475 GOC983011 GXY12 GXY65507 GXY131043 GXY196579 GXY262115 GXY327651 GXY393187 GXY458723 GXY524259 GXY589795 GXY655331 GXY720867 GXY786403 GXY851939 GXY917475 GXY983011 HHU12 HHU65507 HHU131043 HHU196579 HHU262115 HHU327651 HHU393187 HHU458723 HHU524259 HHU589795 HHU655331 HHU720867 HHU786403 HHU851939 HHU917475 HHU983011 HRQ12 HRQ65507 HRQ131043 HRQ196579 HRQ262115 HRQ327651 HRQ393187 HRQ458723 HRQ524259 HRQ589795 HRQ655331 HRQ720867 HRQ786403 HRQ851939 HRQ917475 HRQ983011 IBM12 IBM65507 IBM131043 IBM196579 IBM262115 IBM327651 IBM393187 IBM458723 IBM524259 IBM589795 IBM655331 IBM720867 IBM786403 IBM851939 IBM917475 IBM983011 ILI12 ILI65507 ILI131043 ILI196579 ILI262115 ILI327651 ILI393187 ILI458723 ILI524259 ILI589795 ILI655331 ILI720867 ILI786403 ILI851939 ILI917475 ILI983011 IVE12 IVE65507 IVE131043 IVE196579 IVE262115 IVE327651 IVE393187 IVE458723 IVE524259 IVE589795 IVE655331 IVE720867 IVE786403 IVE851939 IVE917475 IVE983011 JFA12 JFA65507 JFA131043 JFA196579 JFA262115 JFA327651 JFA393187 JFA458723 JFA524259 JFA589795 JFA655331 JFA720867 JFA786403 JFA851939 JFA917475 JFA983011 JOW12 JOW65507 JOW131043 JOW196579 JOW262115 JOW327651 JOW393187 JOW458723 JOW524259 JOW589795 JOW655331 JOW720867 JOW786403 JOW851939 JOW917475 JOW983011 JYS12 JYS65507 JYS131043 JYS196579 JYS262115 JYS327651 JYS393187 JYS458723 JYS524259 JYS589795 JYS655331 JYS720867 JYS786403 JYS851939 JYS917475 JYS983011 KIO12 KIO65507 KIO131043 KIO196579 KIO262115 KIO327651 KIO393187 KIO458723 KIO524259 KIO589795 KIO655331 KIO720867 KIO786403 KIO851939 KIO917475 KIO983011 KSK12 KSK65507 KSK131043 KSK196579 KSK262115 KSK327651 KSK393187 KSK458723 KSK524259 KSK589795 KSK655331 KSK720867 KSK786403 KSK851939 KSK917475 KSK983011 LCG12 LCG65507 LCG131043 LCG196579 LCG262115 LCG327651 LCG393187 LCG458723 LCG524259 LCG589795 LCG655331 LCG720867 LCG786403 LCG851939 LCG917475 LCG983011 LMC12 LMC65507 LMC131043 LMC196579 LMC262115 LMC327651 LMC393187 LMC458723 LMC524259 LMC589795 LMC655331 LMC720867 LMC786403 LMC851939 LMC917475 LMC983011 LVY12 LVY65507 LVY131043 LVY196579 LVY262115 LVY327651 LVY393187 LVY458723 LVY524259 LVY589795 LVY655331 LVY720867 LVY786403 LVY851939 LVY917475 LVY983011 MFU12 MFU65507 MFU131043 MFU196579 MFU262115 MFU327651 MFU393187 MFU458723 MFU524259 MFU589795 MFU655331 MFU720867 MFU786403 MFU851939 MFU917475 MFU983011 MPQ12 MPQ65507 MPQ131043 MPQ196579 MPQ262115 MPQ327651 MPQ393187 MPQ458723 MPQ524259 MPQ589795 MPQ655331 MPQ720867 MPQ786403 MPQ851939 MPQ917475 MPQ983011 MZM12 MZM65507 MZM131043 MZM196579 MZM262115 MZM327651 MZM393187 MZM458723 MZM524259 MZM589795 MZM655331 MZM720867 MZM786403 MZM851939 MZM917475 MZM983011 NJI12 NJI65507 NJI131043 NJI196579 NJI262115 NJI327651 NJI393187 NJI458723 NJI524259 NJI589795 NJI655331 NJI720867 NJI786403 NJI851939 NJI917475 NJI983011 NTE12 NTE65507 NTE131043 NTE196579 NTE262115 NTE327651 NTE393187 NTE458723 NTE524259 NTE589795 NTE655331 NTE720867 NTE786403 NTE851939 NTE917475 NTE983011 ODA12 ODA65507 ODA131043 ODA196579 ODA262115 ODA327651 ODA393187 ODA458723 ODA524259 ODA589795 ODA655331 ODA720867 ODA786403 ODA851939 ODA917475 ODA983011 OMW12 OMW65507 OMW131043 OMW196579 OMW262115 OMW327651 OMW393187 OMW458723 OMW524259 OMW589795 OMW655331 OMW720867 OMW786403 OMW851939 OMW917475 OMW983011 OWS12 OWS65507 OWS131043 OWS196579 OWS262115 OWS327651 OWS393187 OWS458723 OWS524259 OWS589795 OWS655331 OWS720867 OWS786403 OWS851939 OWS917475 OWS983011 PGO12 PGO65507 PGO131043 PGO196579 PGO262115 PGO327651 PGO393187 PGO458723 PGO524259 PGO589795 PGO655331 PGO720867 PGO786403 PGO851939 PGO917475 PGO983011 PQK12 PQK65507 PQK131043 PQK196579 PQK262115 PQK327651 PQK393187 PQK458723 PQK524259 PQK589795 PQK655331 PQK720867 PQK786403 PQK851939 PQK917475 PQK983011 QAG12 QAG65507 QAG131043 QAG196579 QAG262115 QAG327651 QAG393187 QAG458723 QAG524259 QAG589795 QAG655331 QAG720867 QAG786403 QAG851939 QAG917475 QAG983011 QKC12 QKC65507 QKC131043 QKC196579 QKC262115 QKC327651 QKC393187 QKC458723 QKC524259 QKC589795 QKC655331 QKC720867 QKC786403 QKC851939 QKC917475 QKC983011 QTY12 QTY65507 QTY131043 QTY196579 QTY262115 QTY327651 QTY393187 QTY458723 QTY524259 QTY589795 QTY655331 QTY720867 QTY786403 QTY851939 QTY917475 QTY983011 RDU12 RDU65507 RDU131043 RDU196579 RDU262115 RDU327651 RDU393187 RDU458723 RDU524259 RDU589795 RDU655331 RDU720867 RDU786403 RDU851939 RDU917475 RDU983011 RNQ12 RNQ65507 RNQ131043 RNQ196579 RNQ262115 RNQ327651 RNQ393187 RNQ458723 RNQ524259 RNQ589795 RNQ655331 RNQ720867 RNQ786403 RNQ851939 RNQ917475 RNQ983011 RXM12 RXM65507 RXM131043 RXM196579 RXM262115 RXM327651 RXM393187 RXM458723 RXM524259 RXM589795 RXM655331 RXM720867 RXM786403 RXM851939 RXM917475 RXM983011 SHI12 SHI65507 SHI131043 SHI196579 SHI262115 SHI327651 SHI393187 SHI458723 SHI524259 SHI589795 SHI655331 SHI720867 SHI786403 SHI851939 SHI917475 SHI983011 SRE12 SRE65507 SRE131043 SRE196579 SRE262115 SRE327651 SRE393187 SRE458723 SRE524259 SRE589795 SRE655331 SRE720867 SRE786403 SRE851939 SRE917475 SRE983011 TBA12 TBA65507 TBA131043 TBA196579 TBA262115 TBA327651 TBA393187 TBA458723 TBA524259 TBA589795 TBA655331 TBA720867 TBA786403 TBA851939 TBA917475 TBA983011 TKW12 TKW65507 TKW131043 TKW196579 TKW262115 TKW327651 TKW393187 TKW458723 TKW524259 TKW589795 TKW655331 TKW720867 TKW786403 TKW851939 TKW917475 TKW983011 TUS12 TUS65507 TUS131043 TUS196579 TUS262115 TUS327651 TUS393187 TUS458723 TUS524259 TUS589795 TUS655331 TUS720867 TUS786403 TUS851939 TUS917475 TUS983011 UEO12 UEO65507 UEO131043 UEO196579 UEO262115 UEO327651 UEO393187 UEO458723 UEO524259 UEO589795 UEO655331 UEO720867 UEO786403 UEO851939 UEO917475 UEO983011 UOK12 UOK65507 UOK131043 UOK196579 UOK262115 UOK327651 UOK393187 UOK458723 UOK524259 UOK589795 UOK655331 UOK720867 UOK786403 UOK851939 UOK917475 UOK983011 UYG12 UYG65507 UYG131043 UYG196579 UYG262115 UYG327651 UYG393187 UYG458723 UYG524259 UYG589795 UYG655331 UYG720867 UYG786403 UYG851939 UYG917475 UYG983011 VIC12 VIC65507 VIC131043 VIC196579 VIC262115 VIC327651 VIC393187 VIC458723 VIC524259 VIC589795 VIC655331 VIC720867 VIC786403 VIC851939 VIC917475 VIC983011 VRY12 VRY65507 VRY131043 VRY196579 VRY262115 VRY327651 VRY393187 VRY458723 VRY524259 VRY589795 VRY655331 VRY720867 VRY786403 VRY851939 VRY917475 VRY983011 WBU12 WBU65507 WBU131043 WBU196579 WBU262115 WBU327651 WBU393187 WBU458723 WBU524259 WBU589795 WBU655331 WBU720867 WBU786403 WBU851939 WBU917475 WBU983011 WLQ12 WLQ65507 WLQ131043 WLQ196579 WLQ262115 WLQ327651 WLQ393187 WLQ458723 WLQ524259 WLQ589795 WLQ655331 WLQ720867 WLQ786403 WLQ851939 WLQ917475 WLQ983011 WVM12 WVM65507 WVM131043 WVM196579 WVM262115 WVM327651 WVM393187 WVM458723 WVM524259 WVM589795 WVM655331 WVM720867 WVM786403 WVM851939 WVM917475 WVM983011" xr:uid="{00000000-0002-0000-0100-000003000000}">
      <formula1>$P$12:$P$14</formula1>
    </dataValidation>
    <dataValidation type="list" allowBlank="1" showInputMessage="1" showErrorMessage="1" sqref="E10 E65505 E131041 E196577 E262113 E327649 E393185 E458721 E524257 E589793 E655329 E720865 E786401 E851937 E917473 E983009 JA10 JA65505 JA131041 JA196577 JA262113 JA327649 JA393185 JA458721 JA524257 JA589793 JA655329 JA720865 JA786401 JA851937 JA917473 JA983009 SW10 SW65505 SW131041 SW196577 SW262113 SW327649 SW393185 SW458721 SW524257 SW589793 SW655329 SW720865 SW786401 SW851937 SW917473 SW983009 ACS10 ACS65505 ACS131041 ACS196577 ACS262113 ACS327649 ACS393185 ACS458721 ACS524257 ACS589793 ACS655329 ACS720865 ACS786401 ACS851937 ACS917473 ACS983009 AMO10 AMO65505 AMO131041 AMO196577 AMO262113 AMO327649 AMO393185 AMO458721 AMO524257 AMO589793 AMO655329 AMO720865 AMO786401 AMO851937 AMO917473 AMO983009 AWK10 AWK65505 AWK131041 AWK196577 AWK262113 AWK327649 AWK393185 AWK458721 AWK524257 AWK589793 AWK655329 AWK720865 AWK786401 AWK851937 AWK917473 AWK983009 BGG10 BGG65505 BGG131041 BGG196577 BGG262113 BGG327649 BGG393185 BGG458721 BGG524257 BGG589793 BGG655329 BGG720865 BGG786401 BGG851937 BGG917473 BGG983009 BQC10 BQC65505 BQC131041 BQC196577 BQC262113 BQC327649 BQC393185 BQC458721 BQC524257 BQC589793 BQC655329 BQC720865 BQC786401 BQC851937 BQC917473 BQC983009 BZY10 BZY65505 BZY131041 BZY196577 BZY262113 BZY327649 BZY393185 BZY458721 BZY524257 BZY589793 BZY655329 BZY720865 BZY786401 BZY851937 BZY917473 BZY983009 CJU10 CJU65505 CJU131041 CJU196577 CJU262113 CJU327649 CJU393185 CJU458721 CJU524257 CJU589793 CJU655329 CJU720865 CJU786401 CJU851937 CJU917473 CJU983009 CTQ10 CTQ65505 CTQ131041 CTQ196577 CTQ262113 CTQ327649 CTQ393185 CTQ458721 CTQ524257 CTQ589793 CTQ655329 CTQ720865 CTQ786401 CTQ851937 CTQ917473 CTQ983009 DDM10 DDM65505 DDM131041 DDM196577 DDM262113 DDM327649 DDM393185 DDM458721 DDM524257 DDM589793 DDM655329 DDM720865 DDM786401 DDM851937 DDM917473 DDM983009 DNI10 DNI65505 DNI131041 DNI196577 DNI262113 DNI327649 DNI393185 DNI458721 DNI524257 DNI589793 DNI655329 DNI720865 DNI786401 DNI851937 DNI917473 DNI983009 DXE10 DXE65505 DXE131041 DXE196577 DXE262113 DXE327649 DXE393185 DXE458721 DXE524257 DXE589793 DXE655329 DXE720865 DXE786401 DXE851937 DXE917473 DXE983009 EHA10 EHA65505 EHA131041 EHA196577 EHA262113 EHA327649 EHA393185 EHA458721 EHA524257 EHA589793 EHA655329 EHA720865 EHA786401 EHA851937 EHA917473 EHA983009 EQW10 EQW65505 EQW131041 EQW196577 EQW262113 EQW327649 EQW393185 EQW458721 EQW524257 EQW589793 EQW655329 EQW720865 EQW786401 EQW851937 EQW917473 EQW983009 FAS10 FAS65505 FAS131041 FAS196577 FAS262113 FAS327649 FAS393185 FAS458721 FAS524257 FAS589793 FAS655329 FAS720865 FAS786401 FAS851937 FAS917473 FAS983009 FKO10 FKO65505 FKO131041 FKO196577 FKO262113 FKO327649 FKO393185 FKO458721 FKO524257 FKO589793 FKO655329 FKO720865 FKO786401 FKO851937 FKO917473 FKO983009 FUK10 FUK65505 FUK131041 FUK196577 FUK262113 FUK327649 FUK393185 FUK458721 FUK524257 FUK589793 FUK655329 FUK720865 FUK786401 FUK851937 FUK917473 FUK983009 GEG10 GEG65505 GEG131041 GEG196577 GEG262113 GEG327649 GEG393185 GEG458721 GEG524257 GEG589793 GEG655329 GEG720865 GEG786401 GEG851937 GEG917473 GEG983009 GOC10 GOC65505 GOC131041 GOC196577 GOC262113 GOC327649 GOC393185 GOC458721 GOC524257 GOC589793 GOC655329 GOC720865 GOC786401 GOC851937 GOC917473 GOC983009 GXY10 GXY65505 GXY131041 GXY196577 GXY262113 GXY327649 GXY393185 GXY458721 GXY524257 GXY589793 GXY655329 GXY720865 GXY786401 GXY851937 GXY917473 GXY983009 HHU10 HHU65505 HHU131041 HHU196577 HHU262113 HHU327649 HHU393185 HHU458721 HHU524257 HHU589793 HHU655329 HHU720865 HHU786401 HHU851937 HHU917473 HHU983009 HRQ10 HRQ65505 HRQ131041 HRQ196577 HRQ262113 HRQ327649 HRQ393185 HRQ458721 HRQ524257 HRQ589793 HRQ655329 HRQ720865 HRQ786401 HRQ851937 HRQ917473 HRQ983009 IBM10 IBM65505 IBM131041 IBM196577 IBM262113 IBM327649 IBM393185 IBM458721 IBM524257 IBM589793 IBM655329 IBM720865 IBM786401 IBM851937 IBM917473 IBM983009 ILI10 ILI65505 ILI131041 ILI196577 ILI262113 ILI327649 ILI393185 ILI458721 ILI524257 ILI589793 ILI655329 ILI720865 ILI786401 ILI851937 ILI917473 ILI983009 IVE10 IVE65505 IVE131041 IVE196577 IVE262113 IVE327649 IVE393185 IVE458721 IVE524257 IVE589793 IVE655329 IVE720865 IVE786401 IVE851937 IVE917473 IVE983009 JFA10 JFA65505 JFA131041 JFA196577 JFA262113 JFA327649 JFA393185 JFA458721 JFA524257 JFA589793 JFA655329 JFA720865 JFA786401 JFA851937 JFA917473 JFA983009 JOW10 JOW65505 JOW131041 JOW196577 JOW262113 JOW327649 JOW393185 JOW458721 JOW524257 JOW589793 JOW655329 JOW720865 JOW786401 JOW851937 JOW917473 JOW983009 JYS10 JYS65505 JYS131041 JYS196577 JYS262113 JYS327649 JYS393185 JYS458721 JYS524257 JYS589793 JYS655329 JYS720865 JYS786401 JYS851937 JYS917473 JYS983009 KIO10 KIO65505 KIO131041 KIO196577 KIO262113 KIO327649 KIO393185 KIO458721 KIO524257 KIO589793 KIO655329 KIO720865 KIO786401 KIO851937 KIO917473 KIO983009 KSK10 KSK65505 KSK131041 KSK196577 KSK262113 KSK327649 KSK393185 KSK458721 KSK524257 KSK589793 KSK655329 KSK720865 KSK786401 KSK851937 KSK917473 KSK983009 LCG10 LCG65505 LCG131041 LCG196577 LCG262113 LCG327649 LCG393185 LCG458721 LCG524257 LCG589793 LCG655329 LCG720865 LCG786401 LCG851937 LCG917473 LCG983009 LMC10 LMC65505 LMC131041 LMC196577 LMC262113 LMC327649 LMC393185 LMC458721 LMC524257 LMC589793 LMC655329 LMC720865 LMC786401 LMC851937 LMC917473 LMC983009 LVY10 LVY65505 LVY131041 LVY196577 LVY262113 LVY327649 LVY393185 LVY458721 LVY524257 LVY589793 LVY655329 LVY720865 LVY786401 LVY851937 LVY917473 LVY983009 MFU10 MFU65505 MFU131041 MFU196577 MFU262113 MFU327649 MFU393185 MFU458721 MFU524257 MFU589793 MFU655329 MFU720865 MFU786401 MFU851937 MFU917473 MFU983009 MPQ10 MPQ65505 MPQ131041 MPQ196577 MPQ262113 MPQ327649 MPQ393185 MPQ458721 MPQ524257 MPQ589793 MPQ655329 MPQ720865 MPQ786401 MPQ851937 MPQ917473 MPQ983009 MZM10 MZM65505 MZM131041 MZM196577 MZM262113 MZM327649 MZM393185 MZM458721 MZM524257 MZM589793 MZM655329 MZM720865 MZM786401 MZM851937 MZM917473 MZM983009 NJI10 NJI65505 NJI131041 NJI196577 NJI262113 NJI327649 NJI393185 NJI458721 NJI524257 NJI589793 NJI655329 NJI720865 NJI786401 NJI851937 NJI917473 NJI983009 NTE10 NTE65505 NTE131041 NTE196577 NTE262113 NTE327649 NTE393185 NTE458721 NTE524257 NTE589793 NTE655329 NTE720865 NTE786401 NTE851937 NTE917473 NTE983009 ODA10 ODA65505 ODA131041 ODA196577 ODA262113 ODA327649 ODA393185 ODA458721 ODA524257 ODA589793 ODA655329 ODA720865 ODA786401 ODA851937 ODA917473 ODA983009 OMW10 OMW65505 OMW131041 OMW196577 OMW262113 OMW327649 OMW393185 OMW458721 OMW524257 OMW589793 OMW655329 OMW720865 OMW786401 OMW851937 OMW917473 OMW983009 OWS10 OWS65505 OWS131041 OWS196577 OWS262113 OWS327649 OWS393185 OWS458721 OWS524257 OWS589793 OWS655329 OWS720865 OWS786401 OWS851937 OWS917473 OWS983009 PGO10 PGO65505 PGO131041 PGO196577 PGO262113 PGO327649 PGO393185 PGO458721 PGO524257 PGO589793 PGO655329 PGO720865 PGO786401 PGO851937 PGO917473 PGO983009 PQK10 PQK65505 PQK131041 PQK196577 PQK262113 PQK327649 PQK393185 PQK458721 PQK524257 PQK589793 PQK655329 PQK720865 PQK786401 PQK851937 PQK917473 PQK983009 QAG10 QAG65505 QAG131041 QAG196577 QAG262113 QAG327649 QAG393185 QAG458721 QAG524257 QAG589793 QAG655329 QAG720865 QAG786401 QAG851937 QAG917473 QAG983009 QKC10 QKC65505 QKC131041 QKC196577 QKC262113 QKC327649 QKC393185 QKC458721 QKC524257 QKC589793 QKC655329 QKC720865 QKC786401 QKC851937 QKC917473 QKC983009 QTY10 QTY65505 QTY131041 QTY196577 QTY262113 QTY327649 QTY393185 QTY458721 QTY524257 QTY589793 QTY655329 QTY720865 QTY786401 QTY851937 QTY917473 QTY983009 RDU10 RDU65505 RDU131041 RDU196577 RDU262113 RDU327649 RDU393185 RDU458721 RDU524257 RDU589793 RDU655329 RDU720865 RDU786401 RDU851937 RDU917473 RDU983009 RNQ10 RNQ65505 RNQ131041 RNQ196577 RNQ262113 RNQ327649 RNQ393185 RNQ458721 RNQ524257 RNQ589793 RNQ655329 RNQ720865 RNQ786401 RNQ851937 RNQ917473 RNQ983009 RXM10 RXM65505 RXM131041 RXM196577 RXM262113 RXM327649 RXM393185 RXM458721 RXM524257 RXM589793 RXM655329 RXM720865 RXM786401 RXM851937 RXM917473 RXM983009 SHI10 SHI65505 SHI131041 SHI196577 SHI262113 SHI327649 SHI393185 SHI458721 SHI524257 SHI589793 SHI655329 SHI720865 SHI786401 SHI851937 SHI917473 SHI983009 SRE10 SRE65505 SRE131041 SRE196577 SRE262113 SRE327649 SRE393185 SRE458721 SRE524257 SRE589793 SRE655329 SRE720865 SRE786401 SRE851937 SRE917473 SRE983009 TBA10 TBA65505 TBA131041 TBA196577 TBA262113 TBA327649 TBA393185 TBA458721 TBA524257 TBA589793 TBA655329 TBA720865 TBA786401 TBA851937 TBA917473 TBA983009 TKW10 TKW65505 TKW131041 TKW196577 TKW262113 TKW327649 TKW393185 TKW458721 TKW524257 TKW589793 TKW655329 TKW720865 TKW786401 TKW851937 TKW917473 TKW983009 TUS10 TUS65505 TUS131041 TUS196577 TUS262113 TUS327649 TUS393185 TUS458721 TUS524257 TUS589793 TUS655329 TUS720865 TUS786401 TUS851937 TUS917473 TUS983009 UEO10 UEO65505 UEO131041 UEO196577 UEO262113 UEO327649 UEO393185 UEO458721 UEO524257 UEO589793 UEO655329 UEO720865 UEO786401 UEO851937 UEO917473 UEO983009 UOK10 UOK65505 UOK131041 UOK196577 UOK262113 UOK327649 UOK393185 UOK458721 UOK524257 UOK589793 UOK655329 UOK720865 UOK786401 UOK851937 UOK917473 UOK983009 UYG10 UYG65505 UYG131041 UYG196577 UYG262113 UYG327649 UYG393185 UYG458721 UYG524257 UYG589793 UYG655329 UYG720865 UYG786401 UYG851937 UYG917473 UYG983009 VIC10 VIC65505 VIC131041 VIC196577 VIC262113 VIC327649 VIC393185 VIC458721 VIC524257 VIC589793 VIC655329 VIC720865 VIC786401 VIC851937 VIC917473 VIC983009 VRY10 VRY65505 VRY131041 VRY196577 VRY262113 VRY327649 VRY393185 VRY458721 VRY524257 VRY589793 VRY655329 VRY720865 VRY786401 VRY851937 VRY917473 VRY983009 WBU10 WBU65505 WBU131041 WBU196577 WBU262113 WBU327649 WBU393185 WBU458721 WBU524257 WBU589793 WBU655329 WBU720865 WBU786401 WBU851937 WBU917473 WBU983009 WLQ10 WLQ65505 WLQ131041 WLQ196577 WLQ262113 WLQ327649 WLQ393185 WLQ458721 WLQ524257 WLQ589793 WLQ655329 WLQ720865 WLQ786401 WLQ851937 WLQ917473 WLQ983009 WVM10 WVM65505 WVM131041 WVM196577 WVM262113 WVM327649 WVM393185 WVM458721 WVM524257 WVM589793 WVM655329 WVM720865 WVM786401 WVM851937 WVM917473 WVM983009" xr:uid="{00000000-0002-0000-0100-000004000000}">
      <formula1>$P$6:$P$8</formula1>
    </dataValidation>
    <dataValidation type="list" allowBlank="1" showInputMessage="1" showErrorMessage="1" sqref="E9 E65504 E131040 E196576 E262112 E327648 E393184 E458720 E524256 E589792 E655328 E720864 E786400 E851936 E917472 E983008 JA9 JA65504 JA131040 JA196576 JA262112 JA327648 JA393184 JA458720 JA524256 JA589792 JA655328 JA720864 JA786400 JA851936 JA917472 JA983008 SW9 SW65504 SW131040 SW196576 SW262112 SW327648 SW393184 SW458720 SW524256 SW589792 SW655328 SW720864 SW786400 SW851936 SW917472 SW983008 ACS9 ACS65504 ACS131040 ACS196576 ACS262112 ACS327648 ACS393184 ACS458720 ACS524256 ACS589792 ACS655328 ACS720864 ACS786400 ACS851936 ACS917472 ACS983008 AMO9 AMO65504 AMO131040 AMO196576 AMO262112 AMO327648 AMO393184 AMO458720 AMO524256 AMO589792 AMO655328 AMO720864 AMO786400 AMO851936 AMO917472 AMO983008 AWK9 AWK65504 AWK131040 AWK196576 AWK262112 AWK327648 AWK393184 AWK458720 AWK524256 AWK589792 AWK655328 AWK720864 AWK786400 AWK851936 AWK917472 AWK983008 BGG9 BGG65504 BGG131040 BGG196576 BGG262112 BGG327648 BGG393184 BGG458720 BGG524256 BGG589792 BGG655328 BGG720864 BGG786400 BGG851936 BGG917472 BGG983008 BQC9 BQC65504 BQC131040 BQC196576 BQC262112 BQC327648 BQC393184 BQC458720 BQC524256 BQC589792 BQC655328 BQC720864 BQC786400 BQC851936 BQC917472 BQC983008 BZY9 BZY65504 BZY131040 BZY196576 BZY262112 BZY327648 BZY393184 BZY458720 BZY524256 BZY589792 BZY655328 BZY720864 BZY786400 BZY851936 BZY917472 BZY983008 CJU9 CJU65504 CJU131040 CJU196576 CJU262112 CJU327648 CJU393184 CJU458720 CJU524256 CJU589792 CJU655328 CJU720864 CJU786400 CJU851936 CJU917472 CJU983008 CTQ9 CTQ65504 CTQ131040 CTQ196576 CTQ262112 CTQ327648 CTQ393184 CTQ458720 CTQ524256 CTQ589792 CTQ655328 CTQ720864 CTQ786400 CTQ851936 CTQ917472 CTQ983008 DDM9 DDM65504 DDM131040 DDM196576 DDM262112 DDM327648 DDM393184 DDM458720 DDM524256 DDM589792 DDM655328 DDM720864 DDM786400 DDM851936 DDM917472 DDM983008 DNI9 DNI65504 DNI131040 DNI196576 DNI262112 DNI327648 DNI393184 DNI458720 DNI524256 DNI589792 DNI655328 DNI720864 DNI786400 DNI851936 DNI917472 DNI983008 DXE9 DXE65504 DXE131040 DXE196576 DXE262112 DXE327648 DXE393184 DXE458720 DXE524256 DXE589792 DXE655328 DXE720864 DXE786400 DXE851936 DXE917472 DXE983008 EHA9 EHA65504 EHA131040 EHA196576 EHA262112 EHA327648 EHA393184 EHA458720 EHA524256 EHA589792 EHA655328 EHA720864 EHA786400 EHA851936 EHA917472 EHA983008 EQW9 EQW65504 EQW131040 EQW196576 EQW262112 EQW327648 EQW393184 EQW458720 EQW524256 EQW589792 EQW655328 EQW720864 EQW786400 EQW851936 EQW917472 EQW983008 FAS9 FAS65504 FAS131040 FAS196576 FAS262112 FAS327648 FAS393184 FAS458720 FAS524256 FAS589792 FAS655328 FAS720864 FAS786400 FAS851936 FAS917472 FAS983008 FKO9 FKO65504 FKO131040 FKO196576 FKO262112 FKO327648 FKO393184 FKO458720 FKO524256 FKO589792 FKO655328 FKO720864 FKO786400 FKO851936 FKO917472 FKO983008 FUK9 FUK65504 FUK131040 FUK196576 FUK262112 FUK327648 FUK393184 FUK458720 FUK524256 FUK589792 FUK655328 FUK720864 FUK786400 FUK851936 FUK917472 FUK983008 GEG9 GEG65504 GEG131040 GEG196576 GEG262112 GEG327648 GEG393184 GEG458720 GEG524256 GEG589792 GEG655328 GEG720864 GEG786400 GEG851936 GEG917472 GEG983008 GOC9 GOC65504 GOC131040 GOC196576 GOC262112 GOC327648 GOC393184 GOC458720 GOC524256 GOC589792 GOC655328 GOC720864 GOC786400 GOC851936 GOC917472 GOC983008 GXY9 GXY65504 GXY131040 GXY196576 GXY262112 GXY327648 GXY393184 GXY458720 GXY524256 GXY589792 GXY655328 GXY720864 GXY786400 GXY851936 GXY917472 GXY983008 HHU9 HHU65504 HHU131040 HHU196576 HHU262112 HHU327648 HHU393184 HHU458720 HHU524256 HHU589792 HHU655328 HHU720864 HHU786400 HHU851936 HHU917472 HHU983008 HRQ9 HRQ65504 HRQ131040 HRQ196576 HRQ262112 HRQ327648 HRQ393184 HRQ458720 HRQ524256 HRQ589792 HRQ655328 HRQ720864 HRQ786400 HRQ851936 HRQ917472 HRQ983008 IBM9 IBM65504 IBM131040 IBM196576 IBM262112 IBM327648 IBM393184 IBM458720 IBM524256 IBM589792 IBM655328 IBM720864 IBM786400 IBM851936 IBM917472 IBM983008 ILI9 ILI65504 ILI131040 ILI196576 ILI262112 ILI327648 ILI393184 ILI458720 ILI524256 ILI589792 ILI655328 ILI720864 ILI786400 ILI851936 ILI917472 ILI983008 IVE9 IVE65504 IVE131040 IVE196576 IVE262112 IVE327648 IVE393184 IVE458720 IVE524256 IVE589792 IVE655328 IVE720864 IVE786400 IVE851936 IVE917472 IVE983008 JFA9 JFA65504 JFA131040 JFA196576 JFA262112 JFA327648 JFA393184 JFA458720 JFA524256 JFA589792 JFA655328 JFA720864 JFA786400 JFA851936 JFA917472 JFA983008 JOW9 JOW65504 JOW131040 JOW196576 JOW262112 JOW327648 JOW393184 JOW458720 JOW524256 JOW589792 JOW655328 JOW720864 JOW786400 JOW851936 JOW917472 JOW983008 JYS9 JYS65504 JYS131040 JYS196576 JYS262112 JYS327648 JYS393184 JYS458720 JYS524256 JYS589792 JYS655328 JYS720864 JYS786400 JYS851936 JYS917472 JYS983008 KIO9 KIO65504 KIO131040 KIO196576 KIO262112 KIO327648 KIO393184 KIO458720 KIO524256 KIO589792 KIO655328 KIO720864 KIO786400 KIO851936 KIO917472 KIO983008 KSK9 KSK65504 KSK131040 KSK196576 KSK262112 KSK327648 KSK393184 KSK458720 KSK524256 KSK589792 KSK655328 KSK720864 KSK786400 KSK851936 KSK917472 KSK983008 LCG9 LCG65504 LCG131040 LCG196576 LCG262112 LCG327648 LCG393184 LCG458720 LCG524256 LCG589792 LCG655328 LCG720864 LCG786400 LCG851936 LCG917472 LCG983008 LMC9 LMC65504 LMC131040 LMC196576 LMC262112 LMC327648 LMC393184 LMC458720 LMC524256 LMC589792 LMC655328 LMC720864 LMC786400 LMC851936 LMC917472 LMC983008 LVY9 LVY65504 LVY131040 LVY196576 LVY262112 LVY327648 LVY393184 LVY458720 LVY524256 LVY589792 LVY655328 LVY720864 LVY786400 LVY851936 LVY917472 LVY983008 MFU9 MFU65504 MFU131040 MFU196576 MFU262112 MFU327648 MFU393184 MFU458720 MFU524256 MFU589792 MFU655328 MFU720864 MFU786400 MFU851936 MFU917472 MFU983008 MPQ9 MPQ65504 MPQ131040 MPQ196576 MPQ262112 MPQ327648 MPQ393184 MPQ458720 MPQ524256 MPQ589792 MPQ655328 MPQ720864 MPQ786400 MPQ851936 MPQ917472 MPQ983008 MZM9 MZM65504 MZM131040 MZM196576 MZM262112 MZM327648 MZM393184 MZM458720 MZM524256 MZM589792 MZM655328 MZM720864 MZM786400 MZM851936 MZM917472 MZM983008 NJI9 NJI65504 NJI131040 NJI196576 NJI262112 NJI327648 NJI393184 NJI458720 NJI524256 NJI589792 NJI655328 NJI720864 NJI786400 NJI851936 NJI917472 NJI983008 NTE9 NTE65504 NTE131040 NTE196576 NTE262112 NTE327648 NTE393184 NTE458720 NTE524256 NTE589792 NTE655328 NTE720864 NTE786400 NTE851936 NTE917472 NTE983008 ODA9 ODA65504 ODA131040 ODA196576 ODA262112 ODA327648 ODA393184 ODA458720 ODA524256 ODA589792 ODA655328 ODA720864 ODA786400 ODA851936 ODA917472 ODA983008 OMW9 OMW65504 OMW131040 OMW196576 OMW262112 OMW327648 OMW393184 OMW458720 OMW524256 OMW589792 OMW655328 OMW720864 OMW786400 OMW851936 OMW917472 OMW983008 OWS9 OWS65504 OWS131040 OWS196576 OWS262112 OWS327648 OWS393184 OWS458720 OWS524256 OWS589792 OWS655328 OWS720864 OWS786400 OWS851936 OWS917472 OWS983008 PGO9 PGO65504 PGO131040 PGO196576 PGO262112 PGO327648 PGO393184 PGO458720 PGO524256 PGO589792 PGO655328 PGO720864 PGO786400 PGO851936 PGO917472 PGO983008 PQK9 PQK65504 PQK131040 PQK196576 PQK262112 PQK327648 PQK393184 PQK458720 PQK524256 PQK589792 PQK655328 PQK720864 PQK786400 PQK851936 PQK917472 PQK983008 QAG9 QAG65504 QAG131040 QAG196576 QAG262112 QAG327648 QAG393184 QAG458720 QAG524256 QAG589792 QAG655328 QAG720864 QAG786400 QAG851936 QAG917472 QAG983008 QKC9 QKC65504 QKC131040 QKC196576 QKC262112 QKC327648 QKC393184 QKC458720 QKC524256 QKC589792 QKC655328 QKC720864 QKC786400 QKC851936 QKC917472 QKC983008 QTY9 QTY65504 QTY131040 QTY196576 QTY262112 QTY327648 QTY393184 QTY458720 QTY524256 QTY589792 QTY655328 QTY720864 QTY786400 QTY851936 QTY917472 QTY983008 RDU9 RDU65504 RDU131040 RDU196576 RDU262112 RDU327648 RDU393184 RDU458720 RDU524256 RDU589792 RDU655328 RDU720864 RDU786400 RDU851936 RDU917472 RDU983008 RNQ9 RNQ65504 RNQ131040 RNQ196576 RNQ262112 RNQ327648 RNQ393184 RNQ458720 RNQ524256 RNQ589792 RNQ655328 RNQ720864 RNQ786400 RNQ851936 RNQ917472 RNQ983008 RXM9 RXM65504 RXM131040 RXM196576 RXM262112 RXM327648 RXM393184 RXM458720 RXM524256 RXM589792 RXM655328 RXM720864 RXM786400 RXM851936 RXM917472 RXM983008 SHI9 SHI65504 SHI131040 SHI196576 SHI262112 SHI327648 SHI393184 SHI458720 SHI524256 SHI589792 SHI655328 SHI720864 SHI786400 SHI851936 SHI917472 SHI983008 SRE9 SRE65504 SRE131040 SRE196576 SRE262112 SRE327648 SRE393184 SRE458720 SRE524256 SRE589792 SRE655328 SRE720864 SRE786400 SRE851936 SRE917472 SRE983008 TBA9 TBA65504 TBA131040 TBA196576 TBA262112 TBA327648 TBA393184 TBA458720 TBA524256 TBA589792 TBA655328 TBA720864 TBA786400 TBA851936 TBA917472 TBA983008 TKW9 TKW65504 TKW131040 TKW196576 TKW262112 TKW327648 TKW393184 TKW458720 TKW524256 TKW589792 TKW655328 TKW720864 TKW786400 TKW851936 TKW917472 TKW983008 TUS9 TUS65504 TUS131040 TUS196576 TUS262112 TUS327648 TUS393184 TUS458720 TUS524256 TUS589792 TUS655328 TUS720864 TUS786400 TUS851936 TUS917472 TUS983008 UEO9 UEO65504 UEO131040 UEO196576 UEO262112 UEO327648 UEO393184 UEO458720 UEO524256 UEO589792 UEO655328 UEO720864 UEO786400 UEO851936 UEO917472 UEO983008 UOK9 UOK65504 UOK131040 UOK196576 UOK262112 UOK327648 UOK393184 UOK458720 UOK524256 UOK589792 UOK655328 UOK720864 UOK786400 UOK851936 UOK917472 UOK983008 UYG9 UYG65504 UYG131040 UYG196576 UYG262112 UYG327648 UYG393184 UYG458720 UYG524256 UYG589792 UYG655328 UYG720864 UYG786400 UYG851936 UYG917472 UYG983008 VIC9 VIC65504 VIC131040 VIC196576 VIC262112 VIC327648 VIC393184 VIC458720 VIC524256 VIC589792 VIC655328 VIC720864 VIC786400 VIC851936 VIC917472 VIC983008 VRY9 VRY65504 VRY131040 VRY196576 VRY262112 VRY327648 VRY393184 VRY458720 VRY524256 VRY589792 VRY655328 VRY720864 VRY786400 VRY851936 VRY917472 VRY983008 WBU9 WBU65504 WBU131040 WBU196576 WBU262112 WBU327648 WBU393184 WBU458720 WBU524256 WBU589792 WBU655328 WBU720864 WBU786400 WBU851936 WBU917472 WBU983008 WLQ9 WLQ65504 WLQ131040 WLQ196576 WLQ262112 WLQ327648 WLQ393184 WLQ458720 WLQ524256 WLQ589792 WLQ655328 WLQ720864 WLQ786400 WLQ851936 WLQ917472 WLQ983008 WVM9 WVM65504 WVM131040 WVM196576 WVM262112 WVM327648 WVM393184 WVM458720 WVM524256 WVM589792 WVM655328 WVM720864 WVM786400 WVM851936 WVM917472 WVM983008" xr:uid="{00000000-0002-0000-0100-000005000000}">
      <formula1>$P$3:$P$5</formula1>
    </dataValidation>
    <dataValidation type="list" allowBlank="1" showInputMessage="1" showErrorMessage="1" sqref="E11 E16 E65506 E65511 E131042 E131047 E196578 E196583 E262114 E262119 E327650 E327655 E393186 E393191 E458722 E458727 E524258 E524263 E589794 E589799 E655330 E655335 E720866 E720871 E786402 E786407 E851938 E851943 E917474 E917479 E983010 E983015 JA11 JA16 JA65506 JA65511 JA131042 JA131047 JA196578 JA196583 JA262114 JA262119 JA327650 JA327655 JA393186 JA393191 JA458722 JA458727 JA524258 JA524263 JA589794 JA589799 JA655330 JA655335 JA720866 JA720871 JA786402 JA786407 JA851938 JA851943 JA917474 JA917479 JA983010 JA983015 SW11 SW16 SW65506 SW65511 SW131042 SW131047 SW196578 SW196583 SW262114 SW262119 SW327650 SW327655 SW393186 SW393191 SW458722 SW458727 SW524258 SW524263 SW589794 SW589799 SW655330 SW655335 SW720866 SW720871 SW786402 SW786407 SW851938 SW851943 SW917474 SW917479 SW983010 SW983015 ACS11 ACS16 ACS65506 ACS65511 ACS131042 ACS131047 ACS196578 ACS196583 ACS262114 ACS262119 ACS327650 ACS327655 ACS393186 ACS393191 ACS458722 ACS458727 ACS524258 ACS524263 ACS589794 ACS589799 ACS655330 ACS655335 ACS720866 ACS720871 ACS786402 ACS786407 ACS851938 ACS851943 ACS917474 ACS917479 ACS983010 ACS983015 AMO11 AMO16 AMO65506 AMO65511 AMO131042 AMO131047 AMO196578 AMO196583 AMO262114 AMO262119 AMO327650 AMO327655 AMO393186 AMO393191 AMO458722 AMO458727 AMO524258 AMO524263 AMO589794 AMO589799 AMO655330 AMO655335 AMO720866 AMO720871 AMO786402 AMO786407 AMO851938 AMO851943 AMO917474 AMO917479 AMO983010 AMO983015 AWK11 AWK16 AWK65506 AWK65511 AWK131042 AWK131047 AWK196578 AWK196583 AWK262114 AWK262119 AWK327650 AWK327655 AWK393186 AWK393191 AWK458722 AWK458727 AWK524258 AWK524263 AWK589794 AWK589799 AWK655330 AWK655335 AWK720866 AWK720871 AWK786402 AWK786407 AWK851938 AWK851943 AWK917474 AWK917479 AWK983010 AWK983015 BGG11 BGG16 BGG65506 BGG65511 BGG131042 BGG131047 BGG196578 BGG196583 BGG262114 BGG262119 BGG327650 BGG327655 BGG393186 BGG393191 BGG458722 BGG458727 BGG524258 BGG524263 BGG589794 BGG589799 BGG655330 BGG655335 BGG720866 BGG720871 BGG786402 BGG786407 BGG851938 BGG851943 BGG917474 BGG917479 BGG983010 BGG983015 BQC11 BQC16 BQC65506 BQC65511 BQC131042 BQC131047 BQC196578 BQC196583 BQC262114 BQC262119 BQC327650 BQC327655 BQC393186 BQC393191 BQC458722 BQC458727 BQC524258 BQC524263 BQC589794 BQC589799 BQC655330 BQC655335 BQC720866 BQC720871 BQC786402 BQC786407 BQC851938 BQC851943 BQC917474 BQC917479 BQC983010 BQC983015 BZY11 BZY16 BZY65506 BZY65511 BZY131042 BZY131047 BZY196578 BZY196583 BZY262114 BZY262119 BZY327650 BZY327655 BZY393186 BZY393191 BZY458722 BZY458727 BZY524258 BZY524263 BZY589794 BZY589799 BZY655330 BZY655335 BZY720866 BZY720871 BZY786402 BZY786407 BZY851938 BZY851943 BZY917474 BZY917479 BZY983010 BZY983015 CJU11 CJU16 CJU65506 CJU65511 CJU131042 CJU131047 CJU196578 CJU196583 CJU262114 CJU262119 CJU327650 CJU327655 CJU393186 CJU393191 CJU458722 CJU458727 CJU524258 CJU524263 CJU589794 CJU589799 CJU655330 CJU655335 CJU720866 CJU720871 CJU786402 CJU786407 CJU851938 CJU851943 CJU917474 CJU917479 CJU983010 CJU983015 CTQ11 CTQ16 CTQ65506 CTQ65511 CTQ131042 CTQ131047 CTQ196578 CTQ196583 CTQ262114 CTQ262119 CTQ327650 CTQ327655 CTQ393186 CTQ393191 CTQ458722 CTQ458727 CTQ524258 CTQ524263 CTQ589794 CTQ589799 CTQ655330 CTQ655335 CTQ720866 CTQ720871 CTQ786402 CTQ786407 CTQ851938 CTQ851943 CTQ917474 CTQ917479 CTQ983010 CTQ983015 DDM11 DDM16 DDM65506 DDM65511 DDM131042 DDM131047 DDM196578 DDM196583 DDM262114 DDM262119 DDM327650 DDM327655 DDM393186 DDM393191 DDM458722 DDM458727 DDM524258 DDM524263 DDM589794 DDM589799 DDM655330 DDM655335 DDM720866 DDM720871 DDM786402 DDM786407 DDM851938 DDM851943 DDM917474 DDM917479 DDM983010 DDM983015 DNI11 DNI16 DNI65506 DNI65511 DNI131042 DNI131047 DNI196578 DNI196583 DNI262114 DNI262119 DNI327650 DNI327655 DNI393186 DNI393191 DNI458722 DNI458727 DNI524258 DNI524263 DNI589794 DNI589799 DNI655330 DNI655335 DNI720866 DNI720871 DNI786402 DNI786407 DNI851938 DNI851943 DNI917474 DNI917479 DNI983010 DNI983015 DXE11 DXE16 DXE65506 DXE65511 DXE131042 DXE131047 DXE196578 DXE196583 DXE262114 DXE262119 DXE327650 DXE327655 DXE393186 DXE393191 DXE458722 DXE458727 DXE524258 DXE524263 DXE589794 DXE589799 DXE655330 DXE655335 DXE720866 DXE720871 DXE786402 DXE786407 DXE851938 DXE851943 DXE917474 DXE917479 DXE983010 DXE983015 EHA11 EHA16 EHA65506 EHA65511 EHA131042 EHA131047 EHA196578 EHA196583 EHA262114 EHA262119 EHA327650 EHA327655 EHA393186 EHA393191 EHA458722 EHA458727 EHA524258 EHA524263 EHA589794 EHA589799 EHA655330 EHA655335 EHA720866 EHA720871 EHA786402 EHA786407 EHA851938 EHA851943 EHA917474 EHA917479 EHA983010 EHA983015 EQW11 EQW16 EQW65506 EQW65511 EQW131042 EQW131047 EQW196578 EQW196583 EQW262114 EQW262119 EQW327650 EQW327655 EQW393186 EQW393191 EQW458722 EQW458727 EQW524258 EQW524263 EQW589794 EQW589799 EQW655330 EQW655335 EQW720866 EQW720871 EQW786402 EQW786407 EQW851938 EQW851943 EQW917474 EQW917479 EQW983010 EQW983015 FAS11 FAS16 FAS65506 FAS65511 FAS131042 FAS131047 FAS196578 FAS196583 FAS262114 FAS262119 FAS327650 FAS327655 FAS393186 FAS393191 FAS458722 FAS458727 FAS524258 FAS524263 FAS589794 FAS589799 FAS655330 FAS655335 FAS720866 FAS720871 FAS786402 FAS786407 FAS851938 FAS851943 FAS917474 FAS917479 FAS983010 FAS983015 FKO11 FKO16 FKO65506 FKO65511 FKO131042 FKO131047 FKO196578 FKO196583 FKO262114 FKO262119 FKO327650 FKO327655 FKO393186 FKO393191 FKO458722 FKO458727 FKO524258 FKO524263 FKO589794 FKO589799 FKO655330 FKO655335 FKO720866 FKO720871 FKO786402 FKO786407 FKO851938 FKO851943 FKO917474 FKO917479 FKO983010 FKO983015 FUK11 FUK16 FUK65506 FUK65511 FUK131042 FUK131047 FUK196578 FUK196583 FUK262114 FUK262119 FUK327650 FUK327655 FUK393186 FUK393191 FUK458722 FUK458727 FUK524258 FUK524263 FUK589794 FUK589799 FUK655330 FUK655335 FUK720866 FUK720871 FUK786402 FUK786407 FUK851938 FUK851943 FUK917474 FUK917479 FUK983010 FUK983015 GEG11 GEG16 GEG65506 GEG65511 GEG131042 GEG131047 GEG196578 GEG196583 GEG262114 GEG262119 GEG327650 GEG327655 GEG393186 GEG393191 GEG458722 GEG458727 GEG524258 GEG524263 GEG589794 GEG589799 GEG655330 GEG655335 GEG720866 GEG720871 GEG786402 GEG786407 GEG851938 GEG851943 GEG917474 GEG917479 GEG983010 GEG983015 GOC11 GOC16 GOC65506 GOC65511 GOC131042 GOC131047 GOC196578 GOC196583 GOC262114 GOC262119 GOC327650 GOC327655 GOC393186 GOC393191 GOC458722 GOC458727 GOC524258 GOC524263 GOC589794 GOC589799 GOC655330 GOC655335 GOC720866 GOC720871 GOC786402 GOC786407 GOC851938 GOC851943 GOC917474 GOC917479 GOC983010 GOC983015 GXY11 GXY16 GXY65506 GXY65511 GXY131042 GXY131047 GXY196578 GXY196583 GXY262114 GXY262119 GXY327650 GXY327655 GXY393186 GXY393191 GXY458722 GXY458727 GXY524258 GXY524263 GXY589794 GXY589799 GXY655330 GXY655335 GXY720866 GXY720871 GXY786402 GXY786407 GXY851938 GXY851943 GXY917474 GXY917479 GXY983010 GXY983015 HHU11 HHU16 HHU65506 HHU65511 HHU131042 HHU131047 HHU196578 HHU196583 HHU262114 HHU262119 HHU327650 HHU327655 HHU393186 HHU393191 HHU458722 HHU458727 HHU524258 HHU524263 HHU589794 HHU589799 HHU655330 HHU655335 HHU720866 HHU720871 HHU786402 HHU786407 HHU851938 HHU851943 HHU917474 HHU917479 HHU983010 HHU983015 HRQ11 HRQ16 HRQ65506 HRQ65511 HRQ131042 HRQ131047 HRQ196578 HRQ196583 HRQ262114 HRQ262119 HRQ327650 HRQ327655 HRQ393186 HRQ393191 HRQ458722 HRQ458727 HRQ524258 HRQ524263 HRQ589794 HRQ589799 HRQ655330 HRQ655335 HRQ720866 HRQ720871 HRQ786402 HRQ786407 HRQ851938 HRQ851943 HRQ917474 HRQ917479 HRQ983010 HRQ983015 IBM11 IBM16 IBM65506 IBM65511 IBM131042 IBM131047 IBM196578 IBM196583 IBM262114 IBM262119 IBM327650 IBM327655 IBM393186 IBM393191 IBM458722 IBM458727 IBM524258 IBM524263 IBM589794 IBM589799 IBM655330 IBM655335 IBM720866 IBM720871 IBM786402 IBM786407 IBM851938 IBM851943 IBM917474 IBM917479 IBM983010 IBM983015 ILI11 ILI16 ILI65506 ILI65511 ILI131042 ILI131047 ILI196578 ILI196583 ILI262114 ILI262119 ILI327650 ILI327655 ILI393186 ILI393191 ILI458722 ILI458727 ILI524258 ILI524263 ILI589794 ILI589799 ILI655330 ILI655335 ILI720866 ILI720871 ILI786402 ILI786407 ILI851938 ILI851943 ILI917474 ILI917479 ILI983010 ILI983015 IVE11 IVE16 IVE65506 IVE65511 IVE131042 IVE131047 IVE196578 IVE196583 IVE262114 IVE262119 IVE327650 IVE327655 IVE393186 IVE393191 IVE458722 IVE458727 IVE524258 IVE524263 IVE589794 IVE589799 IVE655330 IVE655335 IVE720866 IVE720871 IVE786402 IVE786407 IVE851938 IVE851943 IVE917474 IVE917479 IVE983010 IVE983015 JFA11 JFA16 JFA65506 JFA65511 JFA131042 JFA131047 JFA196578 JFA196583 JFA262114 JFA262119 JFA327650 JFA327655 JFA393186 JFA393191 JFA458722 JFA458727 JFA524258 JFA524263 JFA589794 JFA589799 JFA655330 JFA655335 JFA720866 JFA720871 JFA786402 JFA786407 JFA851938 JFA851943 JFA917474 JFA917479 JFA983010 JFA983015 JOW11 JOW16 JOW65506 JOW65511 JOW131042 JOW131047 JOW196578 JOW196583 JOW262114 JOW262119 JOW327650 JOW327655 JOW393186 JOW393191 JOW458722 JOW458727 JOW524258 JOW524263 JOW589794 JOW589799 JOW655330 JOW655335 JOW720866 JOW720871 JOW786402 JOW786407 JOW851938 JOW851943 JOW917474 JOW917479 JOW983010 JOW983015 JYS11 JYS16 JYS65506 JYS65511 JYS131042 JYS131047 JYS196578 JYS196583 JYS262114 JYS262119 JYS327650 JYS327655 JYS393186 JYS393191 JYS458722 JYS458727 JYS524258 JYS524263 JYS589794 JYS589799 JYS655330 JYS655335 JYS720866 JYS720871 JYS786402 JYS786407 JYS851938 JYS851943 JYS917474 JYS917479 JYS983010 JYS983015 KIO11 KIO16 KIO65506 KIO65511 KIO131042 KIO131047 KIO196578 KIO196583 KIO262114 KIO262119 KIO327650 KIO327655 KIO393186 KIO393191 KIO458722 KIO458727 KIO524258 KIO524263 KIO589794 KIO589799 KIO655330 KIO655335 KIO720866 KIO720871 KIO786402 KIO786407 KIO851938 KIO851943 KIO917474 KIO917479 KIO983010 KIO983015 KSK11 KSK16 KSK65506 KSK65511 KSK131042 KSK131047 KSK196578 KSK196583 KSK262114 KSK262119 KSK327650 KSK327655 KSK393186 KSK393191 KSK458722 KSK458727 KSK524258 KSK524263 KSK589794 KSK589799 KSK655330 KSK655335 KSK720866 KSK720871 KSK786402 KSK786407 KSK851938 KSK851943 KSK917474 KSK917479 KSK983010 KSK983015 LCG11 LCG16 LCG65506 LCG65511 LCG131042 LCG131047 LCG196578 LCG196583 LCG262114 LCG262119 LCG327650 LCG327655 LCG393186 LCG393191 LCG458722 LCG458727 LCG524258 LCG524263 LCG589794 LCG589799 LCG655330 LCG655335 LCG720866 LCG720871 LCG786402 LCG786407 LCG851938 LCG851943 LCG917474 LCG917479 LCG983010 LCG983015 LMC11 LMC16 LMC65506 LMC65511 LMC131042 LMC131047 LMC196578 LMC196583 LMC262114 LMC262119 LMC327650 LMC327655 LMC393186 LMC393191 LMC458722 LMC458727 LMC524258 LMC524263 LMC589794 LMC589799 LMC655330 LMC655335 LMC720866 LMC720871 LMC786402 LMC786407 LMC851938 LMC851943 LMC917474 LMC917479 LMC983010 LMC983015 LVY11 LVY16 LVY65506 LVY65511 LVY131042 LVY131047 LVY196578 LVY196583 LVY262114 LVY262119 LVY327650 LVY327655 LVY393186 LVY393191 LVY458722 LVY458727 LVY524258 LVY524263 LVY589794 LVY589799 LVY655330 LVY655335 LVY720866 LVY720871 LVY786402 LVY786407 LVY851938 LVY851943 LVY917474 LVY917479 LVY983010 LVY983015 MFU11 MFU16 MFU65506 MFU65511 MFU131042 MFU131047 MFU196578 MFU196583 MFU262114 MFU262119 MFU327650 MFU327655 MFU393186 MFU393191 MFU458722 MFU458727 MFU524258 MFU524263 MFU589794 MFU589799 MFU655330 MFU655335 MFU720866 MFU720871 MFU786402 MFU786407 MFU851938 MFU851943 MFU917474 MFU917479 MFU983010 MFU983015 MPQ11 MPQ16 MPQ65506 MPQ65511 MPQ131042 MPQ131047 MPQ196578 MPQ196583 MPQ262114 MPQ262119 MPQ327650 MPQ327655 MPQ393186 MPQ393191 MPQ458722 MPQ458727 MPQ524258 MPQ524263 MPQ589794 MPQ589799 MPQ655330 MPQ655335 MPQ720866 MPQ720871 MPQ786402 MPQ786407 MPQ851938 MPQ851943 MPQ917474 MPQ917479 MPQ983010 MPQ983015 MZM11 MZM16 MZM65506 MZM65511 MZM131042 MZM131047 MZM196578 MZM196583 MZM262114 MZM262119 MZM327650 MZM327655 MZM393186 MZM393191 MZM458722 MZM458727 MZM524258 MZM524263 MZM589794 MZM589799 MZM655330 MZM655335 MZM720866 MZM720871 MZM786402 MZM786407 MZM851938 MZM851943 MZM917474 MZM917479 MZM983010 MZM983015 NJI11 NJI16 NJI65506 NJI65511 NJI131042 NJI131047 NJI196578 NJI196583 NJI262114 NJI262119 NJI327650 NJI327655 NJI393186 NJI393191 NJI458722 NJI458727 NJI524258 NJI524263 NJI589794 NJI589799 NJI655330 NJI655335 NJI720866 NJI720871 NJI786402 NJI786407 NJI851938 NJI851943 NJI917474 NJI917479 NJI983010 NJI983015 NTE11 NTE16 NTE65506 NTE65511 NTE131042 NTE131047 NTE196578 NTE196583 NTE262114 NTE262119 NTE327650 NTE327655 NTE393186 NTE393191 NTE458722 NTE458727 NTE524258 NTE524263 NTE589794 NTE589799 NTE655330 NTE655335 NTE720866 NTE720871 NTE786402 NTE786407 NTE851938 NTE851943 NTE917474 NTE917479 NTE983010 NTE983015 ODA11 ODA16 ODA65506 ODA65511 ODA131042 ODA131047 ODA196578 ODA196583 ODA262114 ODA262119 ODA327650 ODA327655 ODA393186 ODA393191 ODA458722 ODA458727 ODA524258 ODA524263 ODA589794 ODA589799 ODA655330 ODA655335 ODA720866 ODA720871 ODA786402 ODA786407 ODA851938 ODA851943 ODA917474 ODA917479 ODA983010 ODA983015 OMW11 OMW16 OMW65506 OMW65511 OMW131042 OMW131047 OMW196578 OMW196583 OMW262114 OMW262119 OMW327650 OMW327655 OMW393186 OMW393191 OMW458722 OMW458727 OMW524258 OMW524263 OMW589794 OMW589799 OMW655330 OMW655335 OMW720866 OMW720871 OMW786402 OMW786407 OMW851938 OMW851943 OMW917474 OMW917479 OMW983010 OMW983015 OWS11 OWS16 OWS65506 OWS65511 OWS131042 OWS131047 OWS196578 OWS196583 OWS262114 OWS262119 OWS327650 OWS327655 OWS393186 OWS393191 OWS458722 OWS458727 OWS524258 OWS524263 OWS589794 OWS589799 OWS655330 OWS655335 OWS720866 OWS720871 OWS786402 OWS786407 OWS851938 OWS851943 OWS917474 OWS917479 OWS983010 OWS983015 PGO11 PGO16 PGO65506 PGO65511 PGO131042 PGO131047 PGO196578 PGO196583 PGO262114 PGO262119 PGO327650 PGO327655 PGO393186 PGO393191 PGO458722 PGO458727 PGO524258 PGO524263 PGO589794 PGO589799 PGO655330 PGO655335 PGO720866 PGO720871 PGO786402 PGO786407 PGO851938 PGO851943 PGO917474 PGO917479 PGO983010 PGO983015 PQK11 PQK16 PQK65506 PQK65511 PQK131042 PQK131047 PQK196578 PQK196583 PQK262114 PQK262119 PQK327650 PQK327655 PQK393186 PQK393191 PQK458722 PQK458727 PQK524258 PQK524263 PQK589794 PQK589799 PQK655330 PQK655335 PQK720866 PQK720871 PQK786402 PQK786407 PQK851938 PQK851943 PQK917474 PQK917479 PQK983010 PQK983015 QAG11 QAG16 QAG65506 QAG65511 QAG131042 QAG131047 QAG196578 QAG196583 QAG262114 QAG262119 QAG327650 QAG327655 QAG393186 QAG393191 QAG458722 QAG458727 QAG524258 QAG524263 QAG589794 QAG589799 QAG655330 QAG655335 QAG720866 QAG720871 QAG786402 QAG786407 QAG851938 QAG851943 QAG917474 QAG917479 QAG983010 QAG983015 QKC11 QKC16 QKC65506 QKC65511 QKC131042 QKC131047 QKC196578 QKC196583 QKC262114 QKC262119 QKC327650 QKC327655 QKC393186 QKC393191 QKC458722 QKC458727 QKC524258 QKC524263 QKC589794 QKC589799 QKC655330 QKC655335 QKC720866 QKC720871 QKC786402 QKC786407 QKC851938 QKC851943 QKC917474 QKC917479 QKC983010 QKC983015 QTY11 QTY16 QTY65506 QTY65511 QTY131042 QTY131047 QTY196578 QTY196583 QTY262114 QTY262119 QTY327650 QTY327655 QTY393186 QTY393191 QTY458722 QTY458727 QTY524258 QTY524263 QTY589794 QTY589799 QTY655330 QTY655335 QTY720866 QTY720871 QTY786402 QTY786407 QTY851938 QTY851943 QTY917474 QTY917479 QTY983010 QTY983015 RDU11 RDU16 RDU65506 RDU65511 RDU131042 RDU131047 RDU196578 RDU196583 RDU262114 RDU262119 RDU327650 RDU327655 RDU393186 RDU393191 RDU458722 RDU458727 RDU524258 RDU524263 RDU589794 RDU589799 RDU655330 RDU655335 RDU720866 RDU720871 RDU786402 RDU786407 RDU851938 RDU851943 RDU917474 RDU917479 RDU983010 RDU983015 RNQ11 RNQ16 RNQ65506 RNQ65511 RNQ131042 RNQ131047 RNQ196578 RNQ196583 RNQ262114 RNQ262119 RNQ327650 RNQ327655 RNQ393186 RNQ393191 RNQ458722 RNQ458727 RNQ524258 RNQ524263 RNQ589794 RNQ589799 RNQ655330 RNQ655335 RNQ720866 RNQ720871 RNQ786402 RNQ786407 RNQ851938 RNQ851943 RNQ917474 RNQ917479 RNQ983010 RNQ983015 RXM11 RXM16 RXM65506 RXM65511 RXM131042 RXM131047 RXM196578 RXM196583 RXM262114 RXM262119 RXM327650 RXM327655 RXM393186 RXM393191 RXM458722 RXM458727 RXM524258 RXM524263 RXM589794 RXM589799 RXM655330 RXM655335 RXM720866 RXM720871 RXM786402 RXM786407 RXM851938 RXM851943 RXM917474 RXM917479 RXM983010 RXM983015 SHI11 SHI16 SHI65506 SHI65511 SHI131042 SHI131047 SHI196578 SHI196583 SHI262114 SHI262119 SHI327650 SHI327655 SHI393186 SHI393191 SHI458722 SHI458727 SHI524258 SHI524263 SHI589794 SHI589799 SHI655330 SHI655335 SHI720866 SHI720871 SHI786402 SHI786407 SHI851938 SHI851943 SHI917474 SHI917479 SHI983010 SHI983015 SRE11 SRE16 SRE65506 SRE65511 SRE131042 SRE131047 SRE196578 SRE196583 SRE262114 SRE262119 SRE327650 SRE327655 SRE393186 SRE393191 SRE458722 SRE458727 SRE524258 SRE524263 SRE589794 SRE589799 SRE655330 SRE655335 SRE720866 SRE720871 SRE786402 SRE786407 SRE851938 SRE851943 SRE917474 SRE917479 SRE983010 SRE983015 TBA11 TBA16 TBA65506 TBA65511 TBA131042 TBA131047 TBA196578 TBA196583 TBA262114 TBA262119 TBA327650 TBA327655 TBA393186 TBA393191 TBA458722 TBA458727 TBA524258 TBA524263 TBA589794 TBA589799 TBA655330 TBA655335 TBA720866 TBA720871 TBA786402 TBA786407 TBA851938 TBA851943 TBA917474 TBA917479 TBA983010 TBA983015 TKW11 TKW16 TKW65506 TKW65511 TKW131042 TKW131047 TKW196578 TKW196583 TKW262114 TKW262119 TKW327650 TKW327655 TKW393186 TKW393191 TKW458722 TKW458727 TKW524258 TKW524263 TKW589794 TKW589799 TKW655330 TKW655335 TKW720866 TKW720871 TKW786402 TKW786407 TKW851938 TKW851943 TKW917474 TKW917479 TKW983010 TKW983015 TUS11 TUS16 TUS65506 TUS65511 TUS131042 TUS131047 TUS196578 TUS196583 TUS262114 TUS262119 TUS327650 TUS327655 TUS393186 TUS393191 TUS458722 TUS458727 TUS524258 TUS524263 TUS589794 TUS589799 TUS655330 TUS655335 TUS720866 TUS720871 TUS786402 TUS786407 TUS851938 TUS851943 TUS917474 TUS917479 TUS983010 TUS983015 UEO11 UEO16 UEO65506 UEO65511 UEO131042 UEO131047 UEO196578 UEO196583 UEO262114 UEO262119 UEO327650 UEO327655 UEO393186 UEO393191 UEO458722 UEO458727 UEO524258 UEO524263 UEO589794 UEO589799 UEO655330 UEO655335 UEO720866 UEO720871 UEO786402 UEO786407 UEO851938 UEO851943 UEO917474 UEO917479 UEO983010 UEO983015 UOK11 UOK16 UOK65506 UOK65511 UOK131042 UOK131047 UOK196578 UOK196583 UOK262114 UOK262119 UOK327650 UOK327655 UOK393186 UOK393191 UOK458722 UOK458727 UOK524258 UOK524263 UOK589794 UOK589799 UOK655330 UOK655335 UOK720866 UOK720871 UOK786402 UOK786407 UOK851938 UOK851943 UOK917474 UOK917479 UOK983010 UOK983015 UYG11 UYG16 UYG65506 UYG65511 UYG131042 UYG131047 UYG196578 UYG196583 UYG262114 UYG262119 UYG327650 UYG327655 UYG393186 UYG393191 UYG458722 UYG458727 UYG524258 UYG524263 UYG589794 UYG589799 UYG655330 UYG655335 UYG720866 UYG720871 UYG786402 UYG786407 UYG851938 UYG851943 UYG917474 UYG917479 UYG983010 UYG983015 VIC11 VIC16 VIC65506 VIC65511 VIC131042 VIC131047 VIC196578 VIC196583 VIC262114 VIC262119 VIC327650 VIC327655 VIC393186 VIC393191 VIC458722 VIC458727 VIC524258 VIC524263 VIC589794 VIC589799 VIC655330 VIC655335 VIC720866 VIC720871 VIC786402 VIC786407 VIC851938 VIC851943 VIC917474 VIC917479 VIC983010 VIC983015 VRY11 VRY16 VRY65506 VRY65511 VRY131042 VRY131047 VRY196578 VRY196583 VRY262114 VRY262119 VRY327650 VRY327655 VRY393186 VRY393191 VRY458722 VRY458727 VRY524258 VRY524263 VRY589794 VRY589799 VRY655330 VRY655335 VRY720866 VRY720871 VRY786402 VRY786407 VRY851938 VRY851943 VRY917474 VRY917479 VRY983010 VRY983015 WBU11 WBU16 WBU65506 WBU65511 WBU131042 WBU131047 WBU196578 WBU196583 WBU262114 WBU262119 WBU327650 WBU327655 WBU393186 WBU393191 WBU458722 WBU458727 WBU524258 WBU524263 WBU589794 WBU589799 WBU655330 WBU655335 WBU720866 WBU720871 WBU786402 WBU786407 WBU851938 WBU851943 WBU917474 WBU917479 WBU983010 WBU983015 WLQ11 WLQ16 WLQ65506 WLQ65511 WLQ131042 WLQ131047 WLQ196578 WLQ196583 WLQ262114 WLQ262119 WLQ327650 WLQ327655 WLQ393186 WLQ393191 WLQ458722 WLQ458727 WLQ524258 WLQ524263 WLQ589794 WLQ589799 WLQ655330 WLQ655335 WLQ720866 WLQ720871 WLQ786402 WLQ786407 WLQ851938 WLQ851943 WLQ917474 WLQ917479 WLQ983010 WLQ983015 WVM11 WVM16 WVM65506 WVM65511 WVM131042 WVM131047 WVM196578 WVM196583 WVM262114 WVM262119 WVM327650 WVM327655 WVM393186 WVM393191 WVM458722 WVM458727 WVM524258 WVM524263 WVM589794 WVM589799 WVM655330 WVM655335 WVM720866 WVM720871 WVM786402 WVM786407 WVM851938 WVM851943 WVM917474 WVM917479 WVM983010 WVM983015" xr:uid="{00000000-0002-0000-0100-000006000000}">
      <formula1>$P$9:$P$11</formula1>
    </dataValidation>
    <dataValidation type="list" allowBlank="1" showInputMessage="1" showErrorMessage="1" sqref="E13 E18 E65508 E65513 E131044 E131049 E196580 E196585 E262116 E262121 E327652 E327657 E393188 E393193 E458724 E458729 E524260 E524265 E589796 E589801 E655332 E655337 E720868 E720873 E786404 E786409 E851940 E851945 E917476 E917481 E983012 E983017 JA13 JA18 JA65508 JA65513 JA131044 JA131049 JA196580 JA196585 JA262116 JA262121 JA327652 JA327657 JA393188 JA393193 JA458724 JA458729 JA524260 JA524265 JA589796 JA589801 JA655332 JA655337 JA720868 JA720873 JA786404 JA786409 JA851940 JA851945 JA917476 JA917481 JA983012 JA983017 SW13 SW18 SW65508 SW65513 SW131044 SW131049 SW196580 SW196585 SW262116 SW262121 SW327652 SW327657 SW393188 SW393193 SW458724 SW458729 SW524260 SW524265 SW589796 SW589801 SW655332 SW655337 SW720868 SW720873 SW786404 SW786409 SW851940 SW851945 SW917476 SW917481 SW983012 SW983017 ACS13 ACS18 ACS65508 ACS65513 ACS131044 ACS131049 ACS196580 ACS196585 ACS262116 ACS262121 ACS327652 ACS327657 ACS393188 ACS393193 ACS458724 ACS458729 ACS524260 ACS524265 ACS589796 ACS589801 ACS655332 ACS655337 ACS720868 ACS720873 ACS786404 ACS786409 ACS851940 ACS851945 ACS917476 ACS917481 ACS983012 ACS983017 AMO13 AMO18 AMO65508 AMO65513 AMO131044 AMO131049 AMO196580 AMO196585 AMO262116 AMO262121 AMO327652 AMO327657 AMO393188 AMO393193 AMO458724 AMO458729 AMO524260 AMO524265 AMO589796 AMO589801 AMO655332 AMO655337 AMO720868 AMO720873 AMO786404 AMO786409 AMO851940 AMO851945 AMO917476 AMO917481 AMO983012 AMO983017 AWK13 AWK18 AWK65508 AWK65513 AWK131044 AWK131049 AWK196580 AWK196585 AWK262116 AWK262121 AWK327652 AWK327657 AWK393188 AWK393193 AWK458724 AWK458729 AWK524260 AWK524265 AWK589796 AWK589801 AWK655332 AWK655337 AWK720868 AWK720873 AWK786404 AWK786409 AWK851940 AWK851945 AWK917476 AWK917481 AWK983012 AWK983017 BGG13 BGG18 BGG65508 BGG65513 BGG131044 BGG131049 BGG196580 BGG196585 BGG262116 BGG262121 BGG327652 BGG327657 BGG393188 BGG393193 BGG458724 BGG458729 BGG524260 BGG524265 BGG589796 BGG589801 BGG655332 BGG655337 BGG720868 BGG720873 BGG786404 BGG786409 BGG851940 BGG851945 BGG917476 BGG917481 BGG983012 BGG983017 BQC13 BQC18 BQC65508 BQC65513 BQC131044 BQC131049 BQC196580 BQC196585 BQC262116 BQC262121 BQC327652 BQC327657 BQC393188 BQC393193 BQC458724 BQC458729 BQC524260 BQC524265 BQC589796 BQC589801 BQC655332 BQC655337 BQC720868 BQC720873 BQC786404 BQC786409 BQC851940 BQC851945 BQC917476 BQC917481 BQC983012 BQC983017 BZY13 BZY18 BZY65508 BZY65513 BZY131044 BZY131049 BZY196580 BZY196585 BZY262116 BZY262121 BZY327652 BZY327657 BZY393188 BZY393193 BZY458724 BZY458729 BZY524260 BZY524265 BZY589796 BZY589801 BZY655332 BZY655337 BZY720868 BZY720873 BZY786404 BZY786409 BZY851940 BZY851945 BZY917476 BZY917481 BZY983012 BZY983017 CJU13 CJU18 CJU65508 CJU65513 CJU131044 CJU131049 CJU196580 CJU196585 CJU262116 CJU262121 CJU327652 CJU327657 CJU393188 CJU393193 CJU458724 CJU458729 CJU524260 CJU524265 CJU589796 CJU589801 CJU655332 CJU655337 CJU720868 CJU720873 CJU786404 CJU786409 CJU851940 CJU851945 CJU917476 CJU917481 CJU983012 CJU983017 CTQ13 CTQ18 CTQ65508 CTQ65513 CTQ131044 CTQ131049 CTQ196580 CTQ196585 CTQ262116 CTQ262121 CTQ327652 CTQ327657 CTQ393188 CTQ393193 CTQ458724 CTQ458729 CTQ524260 CTQ524265 CTQ589796 CTQ589801 CTQ655332 CTQ655337 CTQ720868 CTQ720873 CTQ786404 CTQ786409 CTQ851940 CTQ851945 CTQ917476 CTQ917481 CTQ983012 CTQ983017 DDM13 DDM18 DDM65508 DDM65513 DDM131044 DDM131049 DDM196580 DDM196585 DDM262116 DDM262121 DDM327652 DDM327657 DDM393188 DDM393193 DDM458724 DDM458729 DDM524260 DDM524265 DDM589796 DDM589801 DDM655332 DDM655337 DDM720868 DDM720873 DDM786404 DDM786409 DDM851940 DDM851945 DDM917476 DDM917481 DDM983012 DDM983017 DNI13 DNI18 DNI65508 DNI65513 DNI131044 DNI131049 DNI196580 DNI196585 DNI262116 DNI262121 DNI327652 DNI327657 DNI393188 DNI393193 DNI458724 DNI458729 DNI524260 DNI524265 DNI589796 DNI589801 DNI655332 DNI655337 DNI720868 DNI720873 DNI786404 DNI786409 DNI851940 DNI851945 DNI917476 DNI917481 DNI983012 DNI983017 DXE13 DXE18 DXE65508 DXE65513 DXE131044 DXE131049 DXE196580 DXE196585 DXE262116 DXE262121 DXE327652 DXE327657 DXE393188 DXE393193 DXE458724 DXE458729 DXE524260 DXE524265 DXE589796 DXE589801 DXE655332 DXE655337 DXE720868 DXE720873 DXE786404 DXE786409 DXE851940 DXE851945 DXE917476 DXE917481 DXE983012 DXE983017 EHA13 EHA18 EHA65508 EHA65513 EHA131044 EHA131049 EHA196580 EHA196585 EHA262116 EHA262121 EHA327652 EHA327657 EHA393188 EHA393193 EHA458724 EHA458729 EHA524260 EHA524265 EHA589796 EHA589801 EHA655332 EHA655337 EHA720868 EHA720873 EHA786404 EHA786409 EHA851940 EHA851945 EHA917476 EHA917481 EHA983012 EHA983017 EQW13 EQW18 EQW65508 EQW65513 EQW131044 EQW131049 EQW196580 EQW196585 EQW262116 EQW262121 EQW327652 EQW327657 EQW393188 EQW393193 EQW458724 EQW458729 EQW524260 EQW524265 EQW589796 EQW589801 EQW655332 EQW655337 EQW720868 EQW720873 EQW786404 EQW786409 EQW851940 EQW851945 EQW917476 EQW917481 EQW983012 EQW983017 FAS13 FAS18 FAS65508 FAS65513 FAS131044 FAS131049 FAS196580 FAS196585 FAS262116 FAS262121 FAS327652 FAS327657 FAS393188 FAS393193 FAS458724 FAS458729 FAS524260 FAS524265 FAS589796 FAS589801 FAS655332 FAS655337 FAS720868 FAS720873 FAS786404 FAS786409 FAS851940 FAS851945 FAS917476 FAS917481 FAS983012 FAS983017 FKO13 FKO18 FKO65508 FKO65513 FKO131044 FKO131049 FKO196580 FKO196585 FKO262116 FKO262121 FKO327652 FKO327657 FKO393188 FKO393193 FKO458724 FKO458729 FKO524260 FKO524265 FKO589796 FKO589801 FKO655332 FKO655337 FKO720868 FKO720873 FKO786404 FKO786409 FKO851940 FKO851945 FKO917476 FKO917481 FKO983012 FKO983017 FUK13 FUK18 FUK65508 FUK65513 FUK131044 FUK131049 FUK196580 FUK196585 FUK262116 FUK262121 FUK327652 FUK327657 FUK393188 FUK393193 FUK458724 FUK458729 FUK524260 FUK524265 FUK589796 FUK589801 FUK655332 FUK655337 FUK720868 FUK720873 FUK786404 FUK786409 FUK851940 FUK851945 FUK917476 FUK917481 FUK983012 FUK983017 GEG13 GEG18 GEG65508 GEG65513 GEG131044 GEG131049 GEG196580 GEG196585 GEG262116 GEG262121 GEG327652 GEG327657 GEG393188 GEG393193 GEG458724 GEG458729 GEG524260 GEG524265 GEG589796 GEG589801 GEG655332 GEG655337 GEG720868 GEG720873 GEG786404 GEG786409 GEG851940 GEG851945 GEG917476 GEG917481 GEG983012 GEG983017 GOC13 GOC18 GOC65508 GOC65513 GOC131044 GOC131049 GOC196580 GOC196585 GOC262116 GOC262121 GOC327652 GOC327657 GOC393188 GOC393193 GOC458724 GOC458729 GOC524260 GOC524265 GOC589796 GOC589801 GOC655332 GOC655337 GOC720868 GOC720873 GOC786404 GOC786409 GOC851940 GOC851945 GOC917476 GOC917481 GOC983012 GOC983017 GXY13 GXY18 GXY65508 GXY65513 GXY131044 GXY131049 GXY196580 GXY196585 GXY262116 GXY262121 GXY327652 GXY327657 GXY393188 GXY393193 GXY458724 GXY458729 GXY524260 GXY524265 GXY589796 GXY589801 GXY655332 GXY655337 GXY720868 GXY720873 GXY786404 GXY786409 GXY851940 GXY851945 GXY917476 GXY917481 GXY983012 GXY983017 HHU13 HHU18 HHU65508 HHU65513 HHU131044 HHU131049 HHU196580 HHU196585 HHU262116 HHU262121 HHU327652 HHU327657 HHU393188 HHU393193 HHU458724 HHU458729 HHU524260 HHU524265 HHU589796 HHU589801 HHU655332 HHU655337 HHU720868 HHU720873 HHU786404 HHU786409 HHU851940 HHU851945 HHU917476 HHU917481 HHU983012 HHU983017 HRQ13 HRQ18 HRQ65508 HRQ65513 HRQ131044 HRQ131049 HRQ196580 HRQ196585 HRQ262116 HRQ262121 HRQ327652 HRQ327657 HRQ393188 HRQ393193 HRQ458724 HRQ458729 HRQ524260 HRQ524265 HRQ589796 HRQ589801 HRQ655332 HRQ655337 HRQ720868 HRQ720873 HRQ786404 HRQ786409 HRQ851940 HRQ851945 HRQ917476 HRQ917481 HRQ983012 HRQ983017 IBM13 IBM18 IBM65508 IBM65513 IBM131044 IBM131049 IBM196580 IBM196585 IBM262116 IBM262121 IBM327652 IBM327657 IBM393188 IBM393193 IBM458724 IBM458729 IBM524260 IBM524265 IBM589796 IBM589801 IBM655332 IBM655337 IBM720868 IBM720873 IBM786404 IBM786409 IBM851940 IBM851945 IBM917476 IBM917481 IBM983012 IBM983017 ILI13 ILI18 ILI65508 ILI65513 ILI131044 ILI131049 ILI196580 ILI196585 ILI262116 ILI262121 ILI327652 ILI327657 ILI393188 ILI393193 ILI458724 ILI458729 ILI524260 ILI524265 ILI589796 ILI589801 ILI655332 ILI655337 ILI720868 ILI720873 ILI786404 ILI786409 ILI851940 ILI851945 ILI917476 ILI917481 ILI983012 ILI983017 IVE13 IVE18 IVE65508 IVE65513 IVE131044 IVE131049 IVE196580 IVE196585 IVE262116 IVE262121 IVE327652 IVE327657 IVE393188 IVE393193 IVE458724 IVE458729 IVE524260 IVE524265 IVE589796 IVE589801 IVE655332 IVE655337 IVE720868 IVE720873 IVE786404 IVE786409 IVE851940 IVE851945 IVE917476 IVE917481 IVE983012 IVE983017 JFA13 JFA18 JFA65508 JFA65513 JFA131044 JFA131049 JFA196580 JFA196585 JFA262116 JFA262121 JFA327652 JFA327657 JFA393188 JFA393193 JFA458724 JFA458729 JFA524260 JFA524265 JFA589796 JFA589801 JFA655332 JFA655337 JFA720868 JFA720873 JFA786404 JFA786409 JFA851940 JFA851945 JFA917476 JFA917481 JFA983012 JFA983017 JOW13 JOW18 JOW65508 JOW65513 JOW131044 JOW131049 JOW196580 JOW196585 JOW262116 JOW262121 JOW327652 JOW327657 JOW393188 JOW393193 JOW458724 JOW458729 JOW524260 JOW524265 JOW589796 JOW589801 JOW655332 JOW655337 JOW720868 JOW720873 JOW786404 JOW786409 JOW851940 JOW851945 JOW917476 JOW917481 JOW983012 JOW983017 JYS13 JYS18 JYS65508 JYS65513 JYS131044 JYS131049 JYS196580 JYS196585 JYS262116 JYS262121 JYS327652 JYS327657 JYS393188 JYS393193 JYS458724 JYS458729 JYS524260 JYS524265 JYS589796 JYS589801 JYS655332 JYS655337 JYS720868 JYS720873 JYS786404 JYS786409 JYS851940 JYS851945 JYS917476 JYS917481 JYS983012 JYS983017 KIO13 KIO18 KIO65508 KIO65513 KIO131044 KIO131049 KIO196580 KIO196585 KIO262116 KIO262121 KIO327652 KIO327657 KIO393188 KIO393193 KIO458724 KIO458729 KIO524260 KIO524265 KIO589796 KIO589801 KIO655332 KIO655337 KIO720868 KIO720873 KIO786404 KIO786409 KIO851940 KIO851945 KIO917476 KIO917481 KIO983012 KIO983017 KSK13 KSK18 KSK65508 KSK65513 KSK131044 KSK131049 KSK196580 KSK196585 KSK262116 KSK262121 KSK327652 KSK327657 KSK393188 KSK393193 KSK458724 KSK458729 KSK524260 KSK524265 KSK589796 KSK589801 KSK655332 KSK655337 KSK720868 KSK720873 KSK786404 KSK786409 KSK851940 KSK851945 KSK917476 KSK917481 KSK983012 KSK983017 LCG13 LCG18 LCG65508 LCG65513 LCG131044 LCG131049 LCG196580 LCG196585 LCG262116 LCG262121 LCG327652 LCG327657 LCG393188 LCG393193 LCG458724 LCG458729 LCG524260 LCG524265 LCG589796 LCG589801 LCG655332 LCG655337 LCG720868 LCG720873 LCG786404 LCG786409 LCG851940 LCG851945 LCG917476 LCG917481 LCG983012 LCG983017 LMC13 LMC18 LMC65508 LMC65513 LMC131044 LMC131049 LMC196580 LMC196585 LMC262116 LMC262121 LMC327652 LMC327657 LMC393188 LMC393193 LMC458724 LMC458729 LMC524260 LMC524265 LMC589796 LMC589801 LMC655332 LMC655337 LMC720868 LMC720873 LMC786404 LMC786409 LMC851940 LMC851945 LMC917476 LMC917481 LMC983012 LMC983017 LVY13 LVY18 LVY65508 LVY65513 LVY131044 LVY131049 LVY196580 LVY196585 LVY262116 LVY262121 LVY327652 LVY327657 LVY393188 LVY393193 LVY458724 LVY458729 LVY524260 LVY524265 LVY589796 LVY589801 LVY655332 LVY655337 LVY720868 LVY720873 LVY786404 LVY786409 LVY851940 LVY851945 LVY917476 LVY917481 LVY983012 LVY983017 MFU13 MFU18 MFU65508 MFU65513 MFU131044 MFU131049 MFU196580 MFU196585 MFU262116 MFU262121 MFU327652 MFU327657 MFU393188 MFU393193 MFU458724 MFU458729 MFU524260 MFU524265 MFU589796 MFU589801 MFU655332 MFU655337 MFU720868 MFU720873 MFU786404 MFU786409 MFU851940 MFU851945 MFU917476 MFU917481 MFU983012 MFU983017 MPQ13 MPQ18 MPQ65508 MPQ65513 MPQ131044 MPQ131049 MPQ196580 MPQ196585 MPQ262116 MPQ262121 MPQ327652 MPQ327657 MPQ393188 MPQ393193 MPQ458724 MPQ458729 MPQ524260 MPQ524265 MPQ589796 MPQ589801 MPQ655332 MPQ655337 MPQ720868 MPQ720873 MPQ786404 MPQ786409 MPQ851940 MPQ851945 MPQ917476 MPQ917481 MPQ983012 MPQ983017 MZM13 MZM18 MZM65508 MZM65513 MZM131044 MZM131049 MZM196580 MZM196585 MZM262116 MZM262121 MZM327652 MZM327657 MZM393188 MZM393193 MZM458724 MZM458729 MZM524260 MZM524265 MZM589796 MZM589801 MZM655332 MZM655337 MZM720868 MZM720873 MZM786404 MZM786409 MZM851940 MZM851945 MZM917476 MZM917481 MZM983012 MZM983017 NJI13 NJI18 NJI65508 NJI65513 NJI131044 NJI131049 NJI196580 NJI196585 NJI262116 NJI262121 NJI327652 NJI327657 NJI393188 NJI393193 NJI458724 NJI458729 NJI524260 NJI524265 NJI589796 NJI589801 NJI655332 NJI655337 NJI720868 NJI720873 NJI786404 NJI786409 NJI851940 NJI851945 NJI917476 NJI917481 NJI983012 NJI983017 NTE13 NTE18 NTE65508 NTE65513 NTE131044 NTE131049 NTE196580 NTE196585 NTE262116 NTE262121 NTE327652 NTE327657 NTE393188 NTE393193 NTE458724 NTE458729 NTE524260 NTE524265 NTE589796 NTE589801 NTE655332 NTE655337 NTE720868 NTE720873 NTE786404 NTE786409 NTE851940 NTE851945 NTE917476 NTE917481 NTE983012 NTE983017 ODA13 ODA18 ODA65508 ODA65513 ODA131044 ODA131049 ODA196580 ODA196585 ODA262116 ODA262121 ODA327652 ODA327657 ODA393188 ODA393193 ODA458724 ODA458729 ODA524260 ODA524265 ODA589796 ODA589801 ODA655332 ODA655337 ODA720868 ODA720873 ODA786404 ODA786409 ODA851940 ODA851945 ODA917476 ODA917481 ODA983012 ODA983017 OMW13 OMW18 OMW65508 OMW65513 OMW131044 OMW131049 OMW196580 OMW196585 OMW262116 OMW262121 OMW327652 OMW327657 OMW393188 OMW393193 OMW458724 OMW458729 OMW524260 OMW524265 OMW589796 OMW589801 OMW655332 OMW655337 OMW720868 OMW720873 OMW786404 OMW786409 OMW851940 OMW851945 OMW917476 OMW917481 OMW983012 OMW983017 OWS13 OWS18 OWS65508 OWS65513 OWS131044 OWS131049 OWS196580 OWS196585 OWS262116 OWS262121 OWS327652 OWS327657 OWS393188 OWS393193 OWS458724 OWS458729 OWS524260 OWS524265 OWS589796 OWS589801 OWS655332 OWS655337 OWS720868 OWS720873 OWS786404 OWS786409 OWS851940 OWS851945 OWS917476 OWS917481 OWS983012 OWS983017 PGO13 PGO18 PGO65508 PGO65513 PGO131044 PGO131049 PGO196580 PGO196585 PGO262116 PGO262121 PGO327652 PGO327657 PGO393188 PGO393193 PGO458724 PGO458729 PGO524260 PGO524265 PGO589796 PGO589801 PGO655332 PGO655337 PGO720868 PGO720873 PGO786404 PGO786409 PGO851940 PGO851945 PGO917476 PGO917481 PGO983012 PGO983017 PQK13 PQK18 PQK65508 PQK65513 PQK131044 PQK131049 PQK196580 PQK196585 PQK262116 PQK262121 PQK327652 PQK327657 PQK393188 PQK393193 PQK458724 PQK458729 PQK524260 PQK524265 PQK589796 PQK589801 PQK655332 PQK655337 PQK720868 PQK720873 PQK786404 PQK786409 PQK851940 PQK851945 PQK917476 PQK917481 PQK983012 PQK983017 QAG13 QAG18 QAG65508 QAG65513 QAG131044 QAG131049 QAG196580 QAG196585 QAG262116 QAG262121 QAG327652 QAG327657 QAG393188 QAG393193 QAG458724 QAG458729 QAG524260 QAG524265 QAG589796 QAG589801 QAG655332 QAG655337 QAG720868 QAG720873 QAG786404 QAG786409 QAG851940 QAG851945 QAG917476 QAG917481 QAG983012 QAG983017 QKC13 QKC18 QKC65508 QKC65513 QKC131044 QKC131049 QKC196580 QKC196585 QKC262116 QKC262121 QKC327652 QKC327657 QKC393188 QKC393193 QKC458724 QKC458729 QKC524260 QKC524265 QKC589796 QKC589801 QKC655332 QKC655337 QKC720868 QKC720873 QKC786404 QKC786409 QKC851940 QKC851945 QKC917476 QKC917481 QKC983012 QKC983017 QTY13 QTY18 QTY65508 QTY65513 QTY131044 QTY131049 QTY196580 QTY196585 QTY262116 QTY262121 QTY327652 QTY327657 QTY393188 QTY393193 QTY458724 QTY458729 QTY524260 QTY524265 QTY589796 QTY589801 QTY655332 QTY655337 QTY720868 QTY720873 QTY786404 QTY786409 QTY851940 QTY851945 QTY917476 QTY917481 QTY983012 QTY983017 RDU13 RDU18 RDU65508 RDU65513 RDU131044 RDU131049 RDU196580 RDU196585 RDU262116 RDU262121 RDU327652 RDU327657 RDU393188 RDU393193 RDU458724 RDU458729 RDU524260 RDU524265 RDU589796 RDU589801 RDU655332 RDU655337 RDU720868 RDU720873 RDU786404 RDU786409 RDU851940 RDU851945 RDU917476 RDU917481 RDU983012 RDU983017 RNQ13 RNQ18 RNQ65508 RNQ65513 RNQ131044 RNQ131049 RNQ196580 RNQ196585 RNQ262116 RNQ262121 RNQ327652 RNQ327657 RNQ393188 RNQ393193 RNQ458724 RNQ458729 RNQ524260 RNQ524265 RNQ589796 RNQ589801 RNQ655332 RNQ655337 RNQ720868 RNQ720873 RNQ786404 RNQ786409 RNQ851940 RNQ851945 RNQ917476 RNQ917481 RNQ983012 RNQ983017 RXM13 RXM18 RXM65508 RXM65513 RXM131044 RXM131049 RXM196580 RXM196585 RXM262116 RXM262121 RXM327652 RXM327657 RXM393188 RXM393193 RXM458724 RXM458729 RXM524260 RXM524265 RXM589796 RXM589801 RXM655332 RXM655337 RXM720868 RXM720873 RXM786404 RXM786409 RXM851940 RXM851945 RXM917476 RXM917481 RXM983012 RXM983017 SHI13 SHI18 SHI65508 SHI65513 SHI131044 SHI131049 SHI196580 SHI196585 SHI262116 SHI262121 SHI327652 SHI327657 SHI393188 SHI393193 SHI458724 SHI458729 SHI524260 SHI524265 SHI589796 SHI589801 SHI655332 SHI655337 SHI720868 SHI720873 SHI786404 SHI786409 SHI851940 SHI851945 SHI917476 SHI917481 SHI983012 SHI983017 SRE13 SRE18 SRE65508 SRE65513 SRE131044 SRE131049 SRE196580 SRE196585 SRE262116 SRE262121 SRE327652 SRE327657 SRE393188 SRE393193 SRE458724 SRE458729 SRE524260 SRE524265 SRE589796 SRE589801 SRE655332 SRE655337 SRE720868 SRE720873 SRE786404 SRE786409 SRE851940 SRE851945 SRE917476 SRE917481 SRE983012 SRE983017 TBA13 TBA18 TBA65508 TBA65513 TBA131044 TBA131049 TBA196580 TBA196585 TBA262116 TBA262121 TBA327652 TBA327657 TBA393188 TBA393193 TBA458724 TBA458729 TBA524260 TBA524265 TBA589796 TBA589801 TBA655332 TBA655337 TBA720868 TBA720873 TBA786404 TBA786409 TBA851940 TBA851945 TBA917476 TBA917481 TBA983012 TBA983017 TKW13 TKW18 TKW65508 TKW65513 TKW131044 TKW131049 TKW196580 TKW196585 TKW262116 TKW262121 TKW327652 TKW327657 TKW393188 TKW393193 TKW458724 TKW458729 TKW524260 TKW524265 TKW589796 TKW589801 TKW655332 TKW655337 TKW720868 TKW720873 TKW786404 TKW786409 TKW851940 TKW851945 TKW917476 TKW917481 TKW983012 TKW983017 TUS13 TUS18 TUS65508 TUS65513 TUS131044 TUS131049 TUS196580 TUS196585 TUS262116 TUS262121 TUS327652 TUS327657 TUS393188 TUS393193 TUS458724 TUS458729 TUS524260 TUS524265 TUS589796 TUS589801 TUS655332 TUS655337 TUS720868 TUS720873 TUS786404 TUS786409 TUS851940 TUS851945 TUS917476 TUS917481 TUS983012 TUS983017 UEO13 UEO18 UEO65508 UEO65513 UEO131044 UEO131049 UEO196580 UEO196585 UEO262116 UEO262121 UEO327652 UEO327657 UEO393188 UEO393193 UEO458724 UEO458729 UEO524260 UEO524265 UEO589796 UEO589801 UEO655332 UEO655337 UEO720868 UEO720873 UEO786404 UEO786409 UEO851940 UEO851945 UEO917476 UEO917481 UEO983012 UEO983017 UOK13 UOK18 UOK65508 UOK65513 UOK131044 UOK131049 UOK196580 UOK196585 UOK262116 UOK262121 UOK327652 UOK327657 UOK393188 UOK393193 UOK458724 UOK458729 UOK524260 UOK524265 UOK589796 UOK589801 UOK655332 UOK655337 UOK720868 UOK720873 UOK786404 UOK786409 UOK851940 UOK851945 UOK917476 UOK917481 UOK983012 UOK983017 UYG13 UYG18 UYG65508 UYG65513 UYG131044 UYG131049 UYG196580 UYG196585 UYG262116 UYG262121 UYG327652 UYG327657 UYG393188 UYG393193 UYG458724 UYG458729 UYG524260 UYG524265 UYG589796 UYG589801 UYG655332 UYG655337 UYG720868 UYG720873 UYG786404 UYG786409 UYG851940 UYG851945 UYG917476 UYG917481 UYG983012 UYG983017 VIC13 VIC18 VIC65508 VIC65513 VIC131044 VIC131049 VIC196580 VIC196585 VIC262116 VIC262121 VIC327652 VIC327657 VIC393188 VIC393193 VIC458724 VIC458729 VIC524260 VIC524265 VIC589796 VIC589801 VIC655332 VIC655337 VIC720868 VIC720873 VIC786404 VIC786409 VIC851940 VIC851945 VIC917476 VIC917481 VIC983012 VIC983017 VRY13 VRY18 VRY65508 VRY65513 VRY131044 VRY131049 VRY196580 VRY196585 VRY262116 VRY262121 VRY327652 VRY327657 VRY393188 VRY393193 VRY458724 VRY458729 VRY524260 VRY524265 VRY589796 VRY589801 VRY655332 VRY655337 VRY720868 VRY720873 VRY786404 VRY786409 VRY851940 VRY851945 VRY917476 VRY917481 VRY983012 VRY983017 WBU13 WBU18 WBU65508 WBU65513 WBU131044 WBU131049 WBU196580 WBU196585 WBU262116 WBU262121 WBU327652 WBU327657 WBU393188 WBU393193 WBU458724 WBU458729 WBU524260 WBU524265 WBU589796 WBU589801 WBU655332 WBU655337 WBU720868 WBU720873 WBU786404 WBU786409 WBU851940 WBU851945 WBU917476 WBU917481 WBU983012 WBU983017 WLQ13 WLQ18 WLQ65508 WLQ65513 WLQ131044 WLQ131049 WLQ196580 WLQ196585 WLQ262116 WLQ262121 WLQ327652 WLQ327657 WLQ393188 WLQ393193 WLQ458724 WLQ458729 WLQ524260 WLQ524265 WLQ589796 WLQ589801 WLQ655332 WLQ655337 WLQ720868 WLQ720873 WLQ786404 WLQ786409 WLQ851940 WLQ851945 WLQ917476 WLQ917481 WLQ983012 WLQ983017 WVM13 WVM18 WVM65508 WVM65513 WVM131044 WVM131049 WVM196580 WVM196585 WVM262116 WVM262121 WVM327652 WVM327657 WVM393188 WVM393193 WVM458724 WVM458729 WVM524260 WVM524265 WVM589796 WVM589801 WVM655332 WVM655337 WVM720868 WVM720873 WVM786404 WVM786409 WVM851940 WVM851945 WVM917476 WVM917481 WVM983012 WVM983017" xr:uid="{00000000-0002-0000-0100-000007000000}">
      <formula1>$P$15:$P$16</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1:E11"/>
  <sheetViews>
    <sheetView tabSelected="1" workbookViewId="0">
      <selection activeCell="H18" sqref="H18"/>
    </sheetView>
  </sheetViews>
  <sheetFormatPr baseColWidth="10" defaultRowHeight="15" x14ac:dyDescent="0.2"/>
  <sheetData>
    <row r="11" spans="2:5" x14ac:dyDescent="0.2">
      <c r="B11" s="80" t="s">
        <v>127</v>
      </c>
      <c r="C11" s="81"/>
      <c r="D11" s="81"/>
      <c r="E11" s="81"/>
    </row>
  </sheetData>
  <mergeCells count="1">
    <mergeCell ref="B11:E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Plan de cambios</vt:lpstr>
      <vt:lpstr>Matriz de Impacto vs Riesgo</vt:lpstr>
      <vt:lpstr>VMs Asignadas</vt:lpstr>
      <vt:lpstr>Plan de recuperación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Marisol Váquez Carvajal</dc:creator>
  <cp:lastModifiedBy>Sebas</cp:lastModifiedBy>
  <cp:lastPrinted>2022-04-04T12:25:48Z</cp:lastPrinted>
  <dcterms:created xsi:type="dcterms:W3CDTF">2012-08-24T21:20:43Z</dcterms:created>
  <dcterms:modified xsi:type="dcterms:W3CDTF">2026-08-14T12:56:50Z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0x010100319B151B82D38940A01757953CF638FC</vt:lpwstr>
  </property>
</Properties>
</file>