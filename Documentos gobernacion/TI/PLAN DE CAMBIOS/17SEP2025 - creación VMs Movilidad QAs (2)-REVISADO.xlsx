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AMARQUEZZ\Desktop\"/>
    </mc:Choice>
  </mc:AlternateContent>
  <xr:revisionPtr revIDLastSave="0" documentId="13_ncr:1_{82F624F6-04E4-44E3-8768-F5AD65085A52}" xr6:coauthVersionLast="47" xr6:coauthVersionMax="47" xr10:uidLastSave="{00000000-0000-0000-0000-000000000000}"/>
  <bookViews>
    <workbookView xWindow="-120" yWindow="-120" windowWidth="20730" windowHeight="11040" xr2:uid="{00000000-000D-0000-FFFF-FFFF00000000}"/>
  </bookViews>
  <sheets>
    <sheet name="Plan de cambios" sheetId="1" r:id="rId1"/>
    <sheet name="Matriz de Impacto vs Riesgo" sheetId="4" r:id="rId2"/>
    <sheet name="VMs Asignadas" sheetId="5" r:id="rId3"/>
    <sheet name="Plan de recuperación" sheetId="2" state="hidden" r:id="rId4"/>
  </sheets>
  <externalReferences>
    <externalReference r:id="rId5"/>
  </externalReferences>
  <definedNames>
    <definedName name="Afectacion" localSheetId="1">'[1]Matriz impacto-riesgo'!$R$13:$R$15</definedName>
    <definedName name="Afectacion">'[1]Matriz impacto-riesgo'!$R$13:$R$15</definedName>
    <definedName name="Aplicaciones" localSheetId="1">'[1]Matriz impacto-riesgo'!$R$25:$R$28</definedName>
    <definedName name="Aplicaciones">'[1]Matriz impacto-riesgo'!$R$25:$R$28</definedName>
    <definedName name="Complejidad" localSheetId="1">'[1]Matriz impacto-riesgo'!$R$10:$R$12</definedName>
    <definedName name="Complejidad">'[1]Matriz impacto-riesgo'!$R$10:$R$12</definedName>
    <definedName name="Experienciacambios" localSheetId="1">'[1]Matriz impacto-riesgo'!$R$4:$R$6</definedName>
    <definedName name="Experienciacambios">'[1]Matriz impacto-riesgo'!$R$4:$R$6</definedName>
    <definedName name="Externos" localSheetId="1">'[1]Matriz impacto-riesgo'!$R$16:$R$17</definedName>
    <definedName name="Externos">'[1]Matriz impacto-riesgo'!$R$16:$R$17</definedName>
    <definedName name="Impacto" localSheetId="1">'[1]Matriz impacto-riesgo'!$R$7:$R$9</definedName>
    <definedName name="Impacto">'[1]Matriz impacto-riesgo'!$R$7:$R$9</definedName>
    <definedName name="Implementacion" localSheetId="1">'[1]Matriz impacto-riesgo'!$R$18:$R$20</definedName>
    <definedName name="Implementacion">'[1]Matriz impacto-riesgo'!$R$18:$R$20</definedName>
    <definedName name="Servicios" localSheetId="1">'[1]Matriz impacto-riesgo'!$R$21:$R$24</definedName>
    <definedName name="Servicios">'[1]Matriz impacto-riesgo'!$R$21:$R$24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7" i="1" l="1"/>
  <c r="F28" i="1"/>
  <c r="F49" i="1"/>
  <c r="F29" i="1"/>
  <c r="F27" i="1"/>
  <c r="F48" i="1"/>
  <c r="F41" i="1" l="1"/>
  <c r="F42" i="1"/>
  <c r="F43" i="1"/>
  <c r="F44" i="1"/>
  <c r="F45" i="1"/>
  <c r="F46" i="1"/>
  <c r="F30" i="1"/>
  <c r="F31" i="1"/>
  <c r="F32" i="1"/>
  <c r="F33" i="1"/>
  <c r="F34" i="1"/>
  <c r="F35" i="1"/>
  <c r="F36" i="1"/>
  <c r="F37" i="1"/>
  <c r="F38" i="1"/>
  <c r="F39" i="1"/>
  <c r="F40" i="1"/>
  <c r="D57" i="1"/>
  <c r="F50" i="1" l="1"/>
  <c r="F9" i="4"/>
  <c r="F18" i="4" l="1"/>
  <c r="F17" i="4"/>
  <c r="F16" i="4"/>
  <c r="F15" i="4"/>
  <c r="F14" i="4"/>
  <c r="F13" i="4"/>
  <c r="F12" i="4"/>
  <c r="F11" i="4"/>
  <c r="F10" i="4"/>
  <c r="F20" i="4" l="1"/>
  <c r="E20" i="4" s="1"/>
  <c r="H20" i="4" s="1"/>
  <c r="D1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EQUIPO</author>
    <author>user</author>
    <author>AMARQUEZZ</author>
  </authors>
  <commentList>
    <comment ref="B6" authorId="0" shapeId="0" xr:uid="{00000000-0006-0000-0000-000001000000}">
      <text>
        <r>
          <rPr>
            <b/>
            <u/>
            <sz val="12"/>
            <color indexed="81"/>
            <rFont val="Arial Narrow"/>
            <family val="2"/>
          </rPr>
          <t>DEFINICIONES</t>
        </r>
        <r>
          <rPr>
            <sz val="12"/>
            <color indexed="81"/>
            <rFont val="Arial Narrow"/>
            <family val="2"/>
          </rPr>
          <t xml:space="preserve">
</t>
        </r>
        <r>
          <rPr>
            <b/>
            <sz val="12"/>
            <color indexed="81"/>
            <rFont val="Arial Narrow"/>
            <family val="2"/>
          </rPr>
          <t xml:space="preserve">
¿QUÉ ES UN CAMBIO?: </t>
        </r>
        <r>
          <rPr>
            <sz val="12"/>
            <color indexed="81"/>
            <rFont val="Arial Narrow"/>
            <family val="2"/>
          </rPr>
          <t xml:space="preserve">Son adiciones, modificaciones o remociones aprobadas, soportadas o basadas en equipos físicos, de red, software, aplicación, sistema, versión de computadores o documentación asociada.
</t>
        </r>
        <r>
          <rPr>
            <b/>
            <sz val="12"/>
            <color indexed="81"/>
            <rFont val="Arial Narrow"/>
            <family val="2"/>
          </rPr>
          <t xml:space="preserve">
</t>
        </r>
        <r>
          <rPr>
            <b/>
            <u/>
            <sz val="12"/>
            <color indexed="81"/>
            <rFont val="Arial Narrow"/>
            <family val="2"/>
          </rPr>
          <t>TIPOS DE CAMBIOS</t>
        </r>
        <r>
          <rPr>
            <sz val="12"/>
            <color indexed="81"/>
            <rFont val="Arial Narrow"/>
            <family val="2"/>
          </rPr>
          <t xml:space="preserve">
</t>
        </r>
        <r>
          <rPr>
            <b/>
            <sz val="12"/>
            <color indexed="81"/>
            <rFont val="Arial Narrow"/>
            <family val="2"/>
          </rPr>
          <t xml:space="preserve">
CAMBIO ESTÁNDAR (PRE-APROBADO): </t>
        </r>
        <r>
          <rPr>
            <sz val="12"/>
            <color indexed="81"/>
            <rFont val="Arial Narrow"/>
            <family val="2"/>
          </rPr>
          <t xml:space="preserve">Es una modificación en la línea base de un servicio que por el volumen de generación y su resultado en la evaluación del impacto vs riesgo es bajo o nulo en la operatividad de los servicios, ya cuenta con aprobación previa, tiene ventana negociada y un flujo de trabajo (pre establecido) para su ejecución.  
</t>
        </r>
        <r>
          <rPr>
            <b/>
            <sz val="12"/>
            <color indexed="81"/>
            <rFont val="Arial Narrow"/>
            <family val="2"/>
          </rPr>
          <t xml:space="preserve">
CAMBIO NORMALES: </t>
        </r>
        <r>
          <rPr>
            <sz val="12"/>
            <color indexed="81"/>
            <rFont val="Arial Narrow"/>
            <family val="2"/>
          </rPr>
          <t xml:space="preserve">Una modificación o adición en cualquier elemento de configuración (CI) que está asociado a errores conocidos o a nuevas implementaciones que afectan la operatividad de la plataforma y su resultado en la evaluación de impacto vs riesgo sea Alta o Media. </t>
        </r>
        <r>
          <rPr>
            <u/>
            <sz val="12"/>
            <color indexed="81"/>
            <rFont val="Arial Narrow"/>
            <family val="2"/>
          </rPr>
          <t xml:space="preserve">
NOTA: Los cambios normales requieren programación y aprobación del C</t>
        </r>
        <r>
          <rPr>
            <i/>
            <sz val="12"/>
            <color indexed="81"/>
            <rFont val="Arial Narrow"/>
            <family val="2"/>
          </rPr>
          <t>AB.</t>
        </r>
        <r>
          <rPr>
            <sz val="12"/>
            <color indexed="81"/>
            <rFont val="Arial Narrow"/>
            <family val="2"/>
          </rPr>
          <t xml:space="preserve">
</t>
        </r>
        <r>
          <rPr>
            <b/>
            <sz val="12"/>
            <color indexed="81"/>
            <rFont val="Arial Narrow"/>
            <family val="2"/>
          </rPr>
          <t xml:space="preserve">
CAMBIO DE EMERGENCIA:</t>
        </r>
        <r>
          <rPr>
            <sz val="12"/>
            <color indexed="81"/>
            <rFont val="Arial Narrow"/>
            <family val="2"/>
          </rPr>
          <t xml:space="preserve"> Son aquellos cambios que demandan prioridad absoluta y se realizan a la mayor brevedad posible debido a que está en riesgo la prestación de un servicio. 
</t>
        </r>
        <r>
          <rPr>
            <u/>
            <sz val="12"/>
            <color indexed="81"/>
            <rFont val="Arial Narrow"/>
            <family val="2"/>
          </rPr>
          <t>NOTA: Los cambios de emergencia deben estar aprobados por el ECAB.</t>
        </r>
        <r>
          <rPr>
            <sz val="12"/>
            <color indexed="81"/>
            <rFont val="Arial Narrow"/>
            <family val="2"/>
          </rPr>
          <t xml:space="preserve">  </t>
        </r>
        <r>
          <rPr>
            <b/>
            <sz val="9"/>
            <color indexed="81"/>
            <rFont val="Tahoma"/>
            <family val="2"/>
          </rPr>
          <t xml:space="preserve">
</t>
        </r>
      </text>
    </comment>
    <comment ref="D6" authorId="1" shapeId="0" xr:uid="{00000000-0006-0000-0000-000002000000}">
      <text>
        <r>
          <rPr>
            <b/>
            <sz val="9"/>
            <color indexed="81"/>
            <rFont val="Tahoma"/>
            <family val="2"/>
          </rPr>
          <t>user:</t>
        </r>
        <r>
          <rPr>
            <sz val="9"/>
            <color indexed="81"/>
            <rFont val="Tahoma"/>
            <family val="2"/>
          </rPr>
          <t xml:space="preserve">
Estándar
Normal
Emergencia</t>
        </r>
      </text>
    </comment>
    <comment ref="K24" authorId="2" shapeId="0" xr:uid="{7181A854-615B-4032-91BC-6FDA1D9B028D}">
      <text>
        <r>
          <rPr>
            <b/>
            <sz val="9"/>
            <color indexed="81"/>
            <rFont val="Tahoma"/>
            <family val="2"/>
          </rPr>
          <t>AMARQUEZZ:</t>
        </r>
        <r>
          <rPr>
            <sz val="9"/>
            <color indexed="81"/>
            <rFont val="Tahoma"/>
            <family val="2"/>
          </rPr>
          <t xml:space="preserve">
Se requiere - Alejandro Ospina</t>
        </r>
      </text>
    </comment>
    <comment ref="L24" authorId="2" shapeId="0" xr:uid="{927F1902-7345-4D71-A2B3-2C607F9DDFAB}">
      <text>
        <r>
          <rPr>
            <b/>
            <sz val="9"/>
            <color indexed="81"/>
            <rFont val="Tahoma"/>
            <family val="2"/>
          </rPr>
          <t>AMARQUEZZ:</t>
        </r>
        <r>
          <rPr>
            <sz val="9"/>
            <color indexed="81"/>
            <rFont val="Tahoma"/>
            <family val="2"/>
          </rPr>
          <t xml:space="preserve">
No se requiere para la actividad</t>
        </r>
      </text>
    </comment>
    <comment ref="M24" authorId="2" shapeId="0" xr:uid="{8F0173A8-607E-4EF6-8053-CCAD40B92F45}">
      <text>
        <r>
          <rPr>
            <b/>
            <sz val="9"/>
            <color indexed="81"/>
            <rFont val="Tahoma"/>
            <family val="2"/>
          </rPr>
          <t>AMARQUEZZ:</t>
        </r>
        <r>
          <rPr>
            <sz val="9"/>
            <color indexed="81"/>
            <rFont val="Tahoma"/>
            <family val="2"/>
          </rPr>
          <t xml:space="preserve">
No se requiere para la actividad</t>
        </r>
      </text>
    </comment>
    <comment ref="F50" authorId="0" shapeId="0" xr:uid="{00000000-0006-0000-0000-000003000000}">
      <text>
        <r>
          <rPr>
            <sz val="12"/>
            <color indexed="81"/>
            <rFont val="Tahoma"/>
            <family val="2"/>
          </rPr>
          <t xml:space="preserve">Fecha y hora de la actividad final (PLANEADO) - Fecha y hora de la actividad inicial (PLANEADO)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AMARQUEZZ</author>
    <author>EQUIPO</author>
  </authors>
  <commentList>
    <comment ref="C3" authorId="0" shapeId="0" xr:uid="{86572136-3EC7-475E-89DD-AA8EE74AAC2C}">
      <text>
        <r>
          <rPr>
            <b/>
            <sz val="9"/>
            <color indexed="81"/>
            <rFont val="Tahoma"/>
            <family val="2"/>
          </rPr>
          <t>AMARQUEZZ:</t>
        </r>
        <r>
          <rPr>
            <sz val="9"/>
            <color indexed="81"/>
            <rFont val="Tahoma"/>
            <family val="2"/>
          </rPr>
          <t xml:space="preserve">
No es el # de caso</t>
        </r>
      </text>
    </comment>
    <comment ref="B4" authorId="0" shapeId="0" xr:uid="{D6A99C23-6E29-4D69-A1FE-1F818A1FE5A0}">
      <text>
        <r>
          <rPr>
            <b/>
            <sz val="9"/>
            <color indexed="81"/>
            <rFont val="Tahoma"/>
            <family val="2"/>
          </rPr>
          <t>AMARQUEZZ:</t>
        </r>
        <r>
          <rPr>
            <sz val="9"/>
            <color indexed="81"/>
            <rFont val="Tahoma"/>
            <family val="2"/>
          </rPr>
          <t xml:space="preserve">
No es la justificación del plan</t>
        </r>
      </text>
    </comment>
    <comment ref="C5" authorId="0" shapeId="0" xr:uid="{1AB0DFE7-135B-4C87-B196-BDAD00A1E46C}">
      <text>
        <r>
          <rPr>
            <b/>
            <sz val="9"/>
            <color indexed="81"/>
            <rFont val="Tahoma"/>
            <family val="2"/>
          </rPr>
          <t>AMARQUEZZ:</t>
        </r>
        <r>
          <rPr>
            <sz val="9"/>
            <color indexed="81"/>
            <rFont val="Tahoma"/>
            <family val="2"/>
          </rPr>
          <t xml:space="preserve">
No son las observaciones del caso</t>
        </r>
      </text>
    </comment>
    <comment ref="B9" authorId="1" shapeId="0" xr:uid="{00000000-0006-0000-0100-000001000000}">
      <text>
        <r>
          <rPr>
            <sz val="9"/>
            <color indexed="81"/>
            <rFont val="Tahoma"/>
            <family val="2"/>
          </rPr>
          <t>Hace referencia a cuántas veces se ha ejecutado el cambio de  forma satisfactoria</t>
        </r>
      </text>
    </comment>
    <comment ref="B10" authorId="1" shapeId="0" xr:uid="{00000000-0006-0000-0100-000002000000}">
      <text>
        <r>
          <rPr>
            <sz val="9"/>
            <color indexed="81"/>
            <rFont val="Tahoma"/>
            <family val="2"/>
          </rPr>
          <t>Se refiere al impacto que se genera en cadena hacia otros componentes.
Alto: Que no se tenga un plan de disponibilidad. Componen SPOF 
Medio: Puede ser un SPOF, pero se cuenta con un plan de recuperación probado. 
Bajo: No es un punto único de fallo (No afecta la disponibilidad del servicio)</t>
        </r>
      </text>
    </comment>
    <comment ref="B11" authorId="1" shapeId="0" xr:uid="{00000000-0006-0000-0100-000003000000}">
      <text>
        <r>
          <rPr>
            <sz val="9"/>
            <color indexed="81"/>
            <rFont val="Tahoma"/>
            <family val="2"/>
          </rPr>
          <t xml:space="preserve">Cuál es el nivel de dificultad que tiene la implementación del cambio, se necesitan conocimientos específicos y de alto nivel para dicha implementación?
</t>
        </r>
      </text>
    </comment>
    <comment ref="B12" authorId="1" shapeId="0" xr:uid="{00000000-0006-0000-0100-000004000000}">
      <text>
        <r>
          <rPr>
            <sz val="9"/>
            <color indexed="81"/>
            <rFont val="Tahoma"/>
            <family val="2"/>
          </rPr>
          <t>Cantidad de personas que usan un servicio, aplicación o componente que pueden ver afectadas sus labores durante la implementación.</t>
        </r>
      </text>
    </comment>
    <comment ref="B13" authorId="1" shapeId="0" xr:uid="{00000000-0006-0000-0100-000005000000}">
      <text>
        <r>
          <rPr>
            <sz val="9"/>
            <color indexed="81"/>
            <rFont val="Tahoma"/>
            <family val="2"/>
          </rPr>
          <t>Hay usuarios externos afectados por el cambio?</t>
        </r>
      </text>
    </comment>
    <comment ref="B14" authorId="1" shapeId="0" xr:uid="{00000000-0006-0000-0100-000006000000}">
      <text>
        <r>
          <rPr>
            <b/>
            <sz val="9"/>
            <color indexed="81"/>
            <rFont val="Tahoma"/>
            <family val="2"/>
          </rPr>
          <t>Es  totalmente necesario el cambio? Si no se implementa se ponen en riesgo otros servicios, temas contractuales, etc.?</t>
        </r>
      </text>
    </comment>
    <comment ref="B15" authorId="1" shapeId="0" xr:uid="{00000000-0006-0000-0100-000007000000}">
      <text>
        <r>
          <rPr>
            <sz val="9"/>
            <color indexed="81"/>
            <rFont val="Tahoma"/>
            <family val="2"/>
          </rPr>
          <t>Cantidad de servicios que se verán afectados durante la implementación del cambio</t>
        </r>
      </text>
    </comment>
    <comment ref="B16" authorId="1" shapeId="0" xr:uid="{00000000-0006-0000-0100-000008000000}">
      <text>
        <r>
          <rPr>
            <sz val="9"/>
            <color indexed="81"/>
            <rFont val="Tahoma"/>
            <family val="2"/>
          </rPr>
          <t xml:space="preserve">El componente donde  se ejecutará el cambio es vital para la prestación del servicio? </t>
        </r>
      </text>
    </comment>
    <comment ref="B17" authorId="1" shapeId="0" xr:uid="{00000000-0006-0000-0100-000009000000}">
      <text>
        <r>
          <rPr>
            <b/>
            <sz val="9"/>
            <color indexed="81"/>
            <rFont val="Tahoma"/>
            <family val="2"/>
          </rPr>
          <t>Cuantas aplicaciones se afectarán durante la implementación del cambio?</t>
        </r>
      </text>
    </comment>
    <comment ref="B18" authorId="1" shapeId="0" xr:uid="{00000000-0006-0000-0100-00000A000000}">
      <text>
        <r>
          <rPr>
            <sz val="9"/>
            <color indexed="81"/>
            <rFont val="Tahoma"/>
            <family val="2"/>
          </rPr>
          <t xml:space="preserve">El componente tiene redundancia? Si no la tiene se genera afectación en el servicio? </t>
        </r>
      </text>
    </comment>
  </commentList>
</comments>
</file>

<file path=xl/sharedStrings.xml><?xml version="1.0" encoding="utf-8"?>
<sst xmlns="http://schemas.openxmlformats.org/spreadsheetml/2006/main" count="396" uniqueCount="156">
  <si>
    <t>ID</t>
  </si>
  <si>
    <t>Observación</t>
  </si>
  <si>
    <t>PLAN DE CAMBIOS</t>
  </si>
  <si>
    <t>DEPENDENCIA SOLICITANTE:</t>
  </si>
  <si>
    <t>ESPECIALISTA SOLICITANTE:</t>
  </si>
  <si>
    <t>OBJETIVO:</t>
  </si>
  <si>
    <t>FECHA SOLICITUD:</t>
  </si>
  <si>
    <t xml:space="preserve">PLAN DE RESPALDO:
(Procedimiento PR-M7-P8-012 Administración de Respaldo y recuperación) 
</t>
  </si>
  <si>
    <t>DESCRIPCIÓN Y ALCANCE:</t>
  </si>
  <si>
    <t>PRERREQUISITOS:</t>
  </si>
  <si>
    <t xml:space="preserve">Nombre del Servicio: </t>
  </si>
  <si>
    <t>Contrato Vigente:</t>
  </si>
  <si>
    <t xml:space="preserve">Nombre del Contratista: </t>
  </si>
  <si>
    <t xml:space="preserve">Nombre del Técnico o correo de soporte contratista: </t>
  </si>
  <si>
    <t xml:space="preserve">Número de contacto del técnico (si aplica): </t>
  </si>
  <si>
    <t>Total Tiempo Invertido</t>
  </si>
  <si>
    <t>PLAN DE RECUPERACION</t>
  </si>
  <si>
    <t>Actividad</t>
  </si>
  <si>
    <t>Tiempo total roll back</t>
  </si>
  <si>
    <t>Tiempo  hh:mm proyectado de la actividad</t>
  </si>
  <si>
    <t>Código: FO-M7-P8-019</t>
  </si>
  <si>
    <t>No de Cambio:</t>
  </si>
  <si>
    <t>0 veces</t>
  </si>
  <si>
    <t>1-2 veces</t>
  </si>
  <si>
    <t>Observaciones:</t>
  </si>
  <si>
    <t>3 o más veces</t>
  </si>
  <si>
    <t>Alto</t>
  </si>
  <si>
    <t>Medio</t>
  </si>
  <si>
    <t>Validación</t>
  </si>
  <si>
    <t>Valoración</t>
  </si>
  <si>
    <t>Bajo</t>
  </si>
  <si>
    <t>Alta</t>
  </si>
  <si>
    <t>2. Despliegue de impacto en componentes</t>
  </si>
  <si>
    <t>Media</t>
  </si>
  <si>
    <t>Baja</t>
  </si>
  <si>
    <t>4. Cantidad de usuarios afectados</t>
  </si>
  <si>
    <t>Total usuarios</t>
  </si>
  <si>
    <t>5. Usuarios externos afectados por el cambio?</t>
  </si>
  <si>
    <t>Área(s) específica(s)</t>
  </si>
  <si>
    <t>6. Riesgo al no implementar el cambio</t>
  </si>
  <si>
    <t>Ninguno</t>
  </si>
  <si>
    <t>7. Número de servicios afectados por el cambio</t>
  </si>
  <si>
    <t>Si</t>
  </si>
  <si>
    <t>8. Criticidad del componente afectado</t>
  </si>
  <si>
    <t>No</t>
  </si>
  <si>
    <t>Sanciones, Multas</t>
  </si>
  <si>
    <t>10. Afectación por no tener un medio de contingencia</t>
  </si>
  <si>
    <t>Afectación Servicio</t>
  </si>
  <si>
    <t>Otros</t>
  </si>
  <si>
    <t>Total</t>
  </si>
  <si>
    <t>Entre 1 y 5</t>
  </si>
  <si>
    <t>Entre 10 y 17</t>
  </si>
  <si>
    <t>Entre 6 y 10</t>
  </si>
  <si>
    <t>Entre 18 y 25</t>
  </si>
  <si>
    <t>Total servicios</t>
  </si>
  <si>
    <t>Entre 26 y 31</t>
  </si>
  <si>
    <t>Total aplicativos</t>
  </si>
  <si>
    <t>1. Cantidad de veces que ha ejecutado este tipo de cambio</t>
  </si>
  <si>
    <t>TIPO DE CAMBIO:</t>
  </si>
  <si>
    <t>NORMAL</t>
  </si>
  <si>
    <t>MATRIZ DE EVALUACIÓN DE IMPACTO VS RIESGO</t>
  </si>
  <si>
    <t>RIESGO:
(Diligenciar Matriz de evaluación Impacto vs Riesgo)</t>
  </si>
  <si>
    <t>CASO ASOCIADO MEGANT:</t>
  </si>
  <si>
    <t>R Responsable     A Aprobador      C Consultados      I Informados</t>
  </si>
  <si>
    <t xml:space="preserve">                                           Cargo/Rol
Actividades o Tareas</t>
  </si>
  <si>
    <t>Fecha  y hora inicio
Tiempo  hh:mm proyectado de la actividad</t>
  </si>
  <si>
    <t>Fecha  y hora Final
Tiempo  hh:mm proyectado de la actividad</t>
  </si>
  <si>
    <t>Total actividad
Tiempo  hh:mm proyectado de la actividad</t>
  </si>
  <si>
    <t>ESTANDAR</t>
  </si>
  <si>
    <t>EMERGENCIA</t>
  </si>
  <si>
    <t>Fecha de aprobación: 
10/01/2023</t>
  </si>
  <si>
    <r>
      <rPr>
        <b/>
        <sz val="12"/>
        <rFont val="Arial Narrow"/>
        <family val="2"/>
      </rPr>
      <t>Versión</t>
    </r>
    <r>
      <rPr>
        <sz val="12"/>
        <rFont val="Arial Narrow"/>
        <family val="2"/>
      </rPr>
      <t>:</t>
    </r>
    <r>
      <rPr>
        <b/>
        <sz val="12"/>
        <rFont val="Arial Narrow"/>
        <family val="2"/>
      </rPr>
      <t xml:space="preserve"> 02</t>
    </r>
  </si>
  <si>
    <t>Coordinador - Jaime Alberto Vásquez Castaño</t>
  </si>
  <si>
    <t>Comité CAB - María Cristina Giraldo Ospina</t>
  </si>
  <si>
    <t>Administrador Plataforma Virtual VMware GOBANT - Fabio Andrés Márquez Zapata</t>
  </si>
  <si>
    <t>Administradora del Directorio Activo - Lina Saldarriaga Mora</t>
  </si>
  <si>
    <t>Administrador de la Red Corporativa - Yeison Monsalve Sánchez</t>
  </si>
  <si>
    <t>Administrador de la Herramienta de Seguridad PAM - Fredy Borja Carvajal</t>
  </si>
  <si>
    <t>Operador del Centro de Cómputo - Carlos Torres Correa</t>
  </si>
  <si>
    <t>RECURSOS REQUERIDOS:</t>
  </si>
  <si>
    <t>DATOS DEL CONTRATISTA:</t>
  </si>
  <si>
    <t>FECHA Y HORA VENTANA DE MANTENIMIENTO:</t>
  </si>
  <si>
    <t>SERVICIOS AFECTADOS:</t>
  </si>
  <si>
    <t>9. Número de aplicativos afectados por el cambio</t>
  </si>
  <si>
    <t>3. Complejidad técnica y funcional</t>
  </si>
  <si>
    <t>META (A donde se quiere llegar - Resultado):</t>
  </si>
  <si>
    <t>N/A</t>
  </si>
  <si>
    <t>Establecer la estrategia de respaldo y recuperación para las VMs ANTLAP127, ANTLAP128, ANTLAP129, ANTLAP130, ANTLAP131 y ANTLAP132</t>
  </si>
  <si>
    <t>En el servidor ANTLAP131 (Red Hat Enterprise Linux 10.1) se validó la conectividad de los contenedores de Servicios Digitales Ciudadano (avit-backend, alertas-backend, integrador-backend, pagos-backend y portal-movilidad) contra las bases de datos SSDD y QX de preproducción, confirmando la correcta ejecución de las estructuras de BD necesarias para el funcionamiento de la aplicación.</t>
  </si>
  <si>
    <t>Se revisó el estado del ambiente de preproducción de Servicios Digitales Ciudadano en ANTLAP131, verificando el estado de los contenedores Docker y el acceso al portal portal-movilidad (avit-frontend v0.0.36) y a los servicios de backend, identificando pendientes de publicación y errores funcionales en los frentes ciudadano/empresas asociados a este servidor.</t>
  </si>
  <si>
    <t>Se revisaron los contextos de publicación de los servicios expuestos por los contenedores de Ciudadano (rutas, puertos y URLs configuradas en docker-compose y en Nginx), ajustando configuraciones para alinear el despliegue con los dominios y subrutas definidos por GSVA y dejando documentadas las novedades encontradas.</t>
  </si>
  <si>
    <t>Se coordinó la interacción entre los servicios de aplicaciones del cliente (GlassFish/Quipux) y los contenedores de Servicios Digitales Ciudadano desplegados en Docker, validando la comunicación entre estos componentes y documentando las dependencias técnicas.</t>
  </si>
  <si>
    <t>Se ajustaron los archivos de configuración de los contenedores de backend (principalmente avit-backend e integrador-backend v0.0.36), actualizando parámetros de conexión a BD (host, puerto, esquema y credenciales) para corregir las fallas de conexión detectadas desde la aplicación.</t>
  </si>
  <si>
    <t>Se actualizaron y desplegaron nuevas versiones de los componentes de Servicios Digitales Ciudadano descargadas desde AWS ECR, iniciando los contenedores alertas-backend:v0.0.36, avit-backend:v0.0.36, integrador-backend:v0.0.36, pagos-backend:v0.0.36 y avit-frontend:v0.0.36 mediante el docker-compose ubicado en /opt/frontoffice-multitenant-docker, dejando estas versiones como activas en el ambiente de preproducción.</t>
  </si>
  <si>
    <t>Se ejecutaron pruebas sobre el flujo de registro de ciudadano desde el portal portal-movilidad (contenedor avit-frontend v0.0.36), monitoreando las llamadas a los servicios avit-backend e integrador-backend para identificar la causa de los errores 504 Gateway Timeout y recopilando evidencias (logs de contenedores) para su análisis.</t>
  </si>
  <si>
    <t>Se revisaron los problemas de comunicación entre los contenedores avit-backend, alertas-backend, pagos-backend e integrador-backend y las bases de datos SSDD/QX/QXServices, validando la resolución DNS y los puertos configurados en docker-compose, y realizando pruebas desde los contenedores para confirmar la correcta respuesta de los servicios de BD.</t>
  </si>
  <si>
    <t>Se confirmó que los servicios de Ciudadano desplegados en ANTLAP131 como contenedores Docker se encontraban levantados y operativos en el ambiente de preproducción (estado Up para avit-backend, alertas-backend, integrador-backend, pagos-backend y portal-movilidad), verificando conectividad de red y respuesta de los endpoints expuestos.</t>
  </si>
  <si>
    <t>Se validó funcionalmente que, con los contenedores de Ciudadano en versión v0.0.36, se encontraban operativas las funcionalidades principales: creación de usuarios, consulta de multas/comparendos/acuerdos de pago, consulta del estado de vehículos y visualización de tarjetas de multas y tarjetas de vehículos, dejando estas pruebas como base para la entrada en pruebas con el usuario.</t>
  </si>
  <si>
    <t>Se ajustaron parámetros de conexión a las bases de datos SSDD, QX y QXServices utilizados por los contenedores avit-backend, integrador-backend y pagos-backend v0.0.36, realizando pruebas de consulta y transacción para confirmar la solución de los problemas de comunicación y estabilidad de los servicios.</t>
  </si>
  <si>
    <t>Se atendió la incidencia con la pasarela de pagos Place to Pay, actualizando la configuración del contenedor pagos-backend v0.0.36 (URLs, credenciales y parámetros de integración) y ejecutando pruebas de pago desde el ambiente de preproducción para verificar la corrección inicial de la integración.</t>
  </si>
  <si>
    <t>Se ejecutó el intento de certificación con Place to Pay desde el contenedor pagos-backend v0.0.36, identificando que el consumo debía realizarse por REST y no por SOAP; se definieron y aplicaron los ajustes en la configuración y el código para usar los endpoints REST de la pasarela y se documentaron los resultados de la prueba fallida.</t>
  </si>
  <si>
    <t>Se desplegó en ANTLAP131 una nueva versión del contenedor pagos-backend v0.0.36 (y contenedores relacionados cuando fue requerido) con los ajustes de integración a Place to Pay, regenerando la imagen Docker desde AWS ECR y actualizando el docker-compose, dejando la nueva versión en ejecución y lista para reintentos de certificación.</t>
  </si>
  <si>
    <t>Se identificó y corrigió el error relacionado con el no envío del campo correo electrónico en las transacciones hacia Place to Pay; se actualizaron las variables de entorno y/o archivos de configuración del contenedor pagos-backend v0.0.36 y se realizaron pruebas de pago desde el ambiente de pruebas para validar el comportamiento esperado.</t>
  </si>
  <si>
    <t>Se habilitó y verificó el acceso al frontoffice de Servicios Digitales Ciudadano (portal-movilidad sobre avit-frontend v0.0.36), compartiendo con el cliente la URL del portal publicada desde este servidor para la realización de pruebas funcionales de usuario en el ambiente de preproducción.</t>
  </si>
  <si>
    <t>En el servidor ANTLAP130 se realizó la instalación y configuración de los prerrequisitos para el aplicativo Servicios Digitales Backoffice sobre Linux (Docker, Docker Compose, Nginx y AWS CLI), habilitando la conexión segura al repositorio AWS ECR para la descarga de imágenes Docker del backoffice.</t>
  </si>
  <si>
    <t>Se configuró el proyecto /opt/ssdd-backoffice-plugins-docker y se desplegó el contenedor ssdd-backoffice-plugins utilizando la imagen ssdd-backoffice-plugins-docker del repositorio AWS ECR, exponiendo los puertos de servicio y mapeando los volúmenes de configuración y logs (/opt/ssdd-backoffice-plugins-docker/config y /opt/ssdd-backoffice-plugins-docker/logs), dejando el servicio configurado con política de reinicio automático.</t>
  </si>
  <si>
    <t>Se desplegó el contenedor ssdd-backoffice-plugins-front-docker con la imagen correspondiente desde AWS ECR, publicando el puerto de acceso web del frontend de Backoffice y enlazándolo a la red Docker ssdd-network, permitiendo el acceso de usuarios internos al módulo de administración.</t>
  </si>
  <si>
    <t>En el servidor ANTLAP127 se instaló y configuró la plataforma de contenedores basada en Docker y Docker Compose, junto con Nginx y AWS CLI, para soportar el despliegue de los componentes de Servicios Digitales Empresas desde el repositorio AWS ECR.</t>
  </si>
  <si>
    <t>Se configuró el proyecto /opt/ssdd-portal-empresas-docker y se desplegó el contenedor ssdd-portal-empresas-docker con imagen del repositorio AWS ECR, publicando los puertos configurados y mapeando volúmenes de configuración y logs, conectado a la red Docker ssdd-network y con política de reinicio automático.</t>
  </si>
  <si>
    <t>Se desplegó el contenedor ssdd-portal-empresas-docker-front utilizando la imagen correspondiente desde AWS ECR, publicando el puerto web para el acceso al portal de empresas y compartiendo el volumen de configuración /opt/ssdd-portal-empresas-docker/config, quedando asociado a la red ssdd-network y listo para las pruebas funcionales del cliente.</t>
  </si>
  <si>
    <t>Base para las pruebas funcionales iniciales del portal ciudadano.</t>
  </si>
  <si>
    <t>Se documentan pendientes de publicación y errores de ejecución.</t>
  </si>
  <si>
    <t>Ajuste necesario para correcta exposición del portal y APIs.</t>
  </si>
  <si>
    <t>Actividad de coordinación técnica con Arquitectura/Aplicaciones.</t>
  </si>
  <si>
    <t>Corrige errores de conexión a BD SSDD/QX.</t>
  </si>
  <si>
    <t>Se dejan versiones estabilizadas para pruebas en QAS.</t>
  </si>
  <si>
    <t>Se identifican tiempos de respuesta y errores 504 en los servicios.</t>
  </si>
  <si>
    <t>Se comprueba conectividad a BD desde cada contenedor.</t>
  </si>
  <si>
    <t>Validación de estado de servicios en QAS.</t>
  </si>
  <si>
    <t>Funcionalidades clave OK en ambiente de pruebas.</t>
  </si>
  <si>
    <t>Estabilización de comunicación con BD.</t>
  </si>
  <si>
    <t>Ajustes iniciales de integración P2P.</t>
  </si>
  <si>
    <t>Certificación fallida, se define cambio a REST.</t>
  </si>
  <si>
    <t>Preparación para nueva ronda de certificación P2P.</t>
  </si>
  <si>
    <t>Corrección de parámetro obligatorio (email) en integración P2P.</t>
  </si>
  <si>
    <t>Portal ciudadano disponible para pruebas del cliente.</t>
  </si>
  <si>
    <t>Prerrequisitos listos para despliegue de Backoffice.</t>
  </si>
  <si>
    <t>Backend de Backoffice operativo en ambiente de pruebas.</t>
  </si>
  <si>
    <t>Frontend de Backoffice disponible para validación funcional.</t>
  </si>
  <si>
    <t>Prerrequisitos listos para despliegue del portal de empresas.</t>
  </si>
  <si>
    <t>Backend del portal de empresas operativo en ambiente de pruebas.</t>
  </si>
  <si>
    <t>Portal de empresas disponible para validación de negocio.</t>
  </si>
  <si>
    <t>Secretaría de Seguridad, Justicia y Paz - Gerencia de Seguridad Vial</t>
  </si>
  <si>
    <r>
      <rPr>
        <b/>
        <sz val="12"/>
        <rFont val="Arial Narrow"/>
        <family val="2"/>
      </rPr>
      <t>BRM:</t>
    </r>
    <r>
      <rPr>
        <sz val="12"/>
        <rFont val="Arial Narrow"/>
        <family val="2"/>
      </rPr>
      <t xml:space="preserve"> Rafael Jenaro Roldan Ospina - Luis Fernando Florez Garcia</t>
    </r>
  </si>
  <si>
    <t xml:space="preserve">Implementar en ambiente preproducción el servicio de Movilidad Antioquia de la Secretaría de Seguridad, Justicia y Paz - Gerencia de Seguridad Vial </t>
  </si>
  <si>
    <t xml:space="preserve">Desplegar en ambiente preproducción en las VMs asignadas el proyecto de Movilidad Antioquiade la Secretaría de Seguridad, Justicia y Paz - Gerencia de Seguridad Vial </t>
  </si>
  <si>
    <t>Generar el requerimiento en la mesa de servicio MEGANT (ARANDA)</t>
  </si>
  <si>
    <t>Diligenciar el formato de gestión de la calidad "Plan de Cambios"</t>
  </si>
  <si>
    <t>Contratista Quipux S.A.S</t>
  </si>
  <si>
    <t>R</t>
  </si>
  <si>
    <t>El caso se genera a nombre del usuario BRM Rafael Jenaro Roldan - Luis Fernando Florez Garcia</t>
  </si>
  <si>
    <t>Plan de Cambios Diligenciado por el Quipux S.A.S</t>
  </si>
  <si>
    <t>Cerrar el caso en la mesa de servicio MEGANT</t>
  </si>
  <si>
    <t>El proyecto consiste en el despliegue, configuración y puesta en operación del sistema SSDD y sus componentes asociados (QX, QXServices y pasarela de pagos) en el ambiente preproducción.
Incluye la preparación de la infraestructura lógica (contenedores Docker, servicios, conexiones a bases de datos) y la habilitación de los frentes de atención, garantizando la comunicación con las bases de datos departamentales y los servicios externos necesarios para la consulta y gestión de información de tránsito y movilidad.</t>
  </si>
  <si>
    <t>Documentar la fecha en que hicieron la implementación del servicio</t>
  </si>
  <si>
    <r>
      <t xml:space="preserve">Autorización escrita de la Directora de Tecnología e Información para la asignación de los recursos de hardware y software (Formato de solicitud de VMs) - </t>
    </r>
    <r>
      <rPr>
        <b/>
        <sz val="12"/>
        <color rgb="FFC00000"/>
        <rFont val="Arial Narrow"/>
        <family val="2"/>
      </rPr>
      <t>esto no es un prerrequisito para la implementación del servicio</t>
    </r>
  </si>
  <si>
    <r>
      <t>Hardware:</t>
    </r>
    <r>
      <rPr>
        <sz val="12"/>
        <rFont val="Arial Narrow"/>
        <family val="2"/>
      </rPr>
      <t xml:space="preserve"> 12vCPU, 48GB de memoria RAM, 510GB HD SSD y 12 tarjetas de red</t>
    </r>
    <r>
      <rPr>
        <b/>
        <sz val="12"/>
        <rFont val="Arial Narrow"/>
        <family val="2"/>
      </rPr>
      <t xml:space="preserve"> - </t>
    </r>
    <r>
      <rPr>
        <b/>
        <sz val="12"/>
        <color rgb="FFC00000"/>
        <rFont val="Arial Narrow"/>
        <family val="2"/>
      </rPr>
      <t>esto no es un prerrequisito para la actividad</t>
    </r>
  </si>
  <si>
    <r>
      <t>Humanos:</t>
    </r>
    <r>
      <rPr>
        <sz val="12"/>
        <rFont val="Arial Narrow"/>
        <family val="2"/>
      </rPr>
      <t xml:space="preserve"> Personal de Quipux
Adahir Herazo Ramos – Implantación y configuración de aplicación
Jaime Andrés Builes – Redes y servidores
Jhon Edinson Acevedo – Docker y soporte técnico
Julian Mauricio Ángel – Implementación Docker
Danith Muñiz – Estructuras BD
Eimar F. Quintero – Estructuras BD
Xiomara Urrego – Línea gráfica y diseño</t>
    </r>
    <r>
      <rPr>
        <b/>
        <sz val="12"/>
        <rFont val="Arial Narrow"/>
        <family val="2"/>
      </rPr>
      <t xml:space="preserve">
</t>
    </r>
    <r>
      <rPr>
        <b/>
        <sz val="12"/>
        <color rgb="FFC00000"/>
        <rFont val="Arial Narrow"/>
        <family val="2"/>
      </rPr>
      <t>Falta los actores de GOBANT</t>
    </r>
  </si>
  <si>
    <r>
      <t>Software:</t>
    </r>
    <r>
      <rPr>
        <sz val="12"/>
        <rFont val="Arial Narrow"/>
        <family val="2"/>
      </rPr>
      <t xml:space="preserve"> 6 suscripciones disponibles para sistema operativo RHEL (Versión DataCenter)</t>
    </r>
    <r>
      <rPr>
        <b/>
        <sz val="12"/>
        <rFont val="Arial Narrow"/>
        <family val="2"/>
      </rPr>
      <t xml:space="preserve"> - </t>
    </r>
    <r>
      <rPr>
        <b/>
        <sz val="12"/>
        <color rgb="FFC00000"/>
        <rFont val="Arial Narrow"/>
        <family val="2"/>
      </rPr>
      <t>esto no es prerrequisito para la actividad</t>
    </r>
  </si>
  <si>
    <t>Otro: Requieren otro?</t>
  </si>
  <si>
    <t>Datos del servicio a implementar junto la información del contratista</t>
  </si>
  <si>
    <t>Administrador del Servicio Movilidad en Línea - Luis Fernando Florez</t>
  </si>
  <si>
    <r>
      <t>NOTA:</t>
    </r>
    <r>
      <rPr>
        <sz val="12"/>
        <rFont val="Arial Narrow"/>
        <family val="2"/>
      </rPr>
      <t xml:space="preserve"> Este plan de cambios no contempla la implementación del servicio -</t>
    </r>
    <r>
      <rPr>
        <b/>
        <sz val="12"/>
        <color rgb="FFC00000"/>
        <rFont val="Arial Narrow"/>
        <family val="2"/>
      </rPr>
      <t xml:space="preserve"> ???</t>
    </r>
  </si>
  <si>
    <r>
      <t xml:space="preserve">Justificación del cambio:
</t>
    </r>
    <r>
      <rPr>
        <sz val="12"/>
        <color rgb="FFC00000"/>
        <rFont val="Arial Narrow"/>
        <family val="2"/>
      </rPr>
      <t>A través del BRM de la Secretaría de Seguridad, Justicia y Paz realizan la solicitud de "</t>
    </r>
    <r>
      <rPr>
        <i/>
        <sz val="12"/>
        <color rgb="FFC00000"/>
        <rFont val="Arial Narrow"/>
        <family val="2"/>
      </rPr>
      <t xml:space="preserve">Crear 6 nuevas VMs con SO RHEL 10 en la plataforma virtual VMware GOBANT para el servicio de Movilidad ambiente de pruebas con las siguientes características: </t>
    </r>
    <r>
      <rPr>
        <b/>
        <i/>
        <u/>
        <sz val="12"/>
        <color rgb="FFC00000"/>
        <rFont val="Arial Narrow"/>
        <family val="2"/>
      </rPr>
      <t>VM1:</t>
    </r>
    <r>
      <rPr>
        <i/>
        <sz val="12"/>
        <color rgb="FFC00000"/>
        <rFont val="Arial Narrow"/>
        <family val="2"/>
      </rPr>
      <t xml:space="preserve"> 2vCPU, 8GB RAM, 85GB HD SSD y Conexión red Inside - Rol: QXEMPRESATEST.  </t>
    </r>
    <r>
      <rPr>
        <b/>
        <i/>
        <u/>
        <sz val="12"/>
        <color rgb="FFC00000"/>
        <rFont val="Arial Narrow"/>
        <family val="2"/>
      </rPr>
      <t>VM2:</t>
    </r>
    <r>
      <rPr>
        <i/>
        <sz val="12"/>
        <color rgb="FFC00000"/>
        <rFont val="Arial Narrow"/>
        <family val="2"/>
      </rPr>
      <t xml:space="preserve"> 2vCPU, 8GB RAM, 85GB HD SSD y Conexión red Inside - Rol: QXPORTALTEST.  </t>
    </r>
    <r>
      <rPr>
        <b/>
        <i/>
        <u/>
        <sz val="12"/>
        <color rgb="FFC00000"/>
        <rFont val="Arial Narrow"/>
        <family val="2"/>
      </rPr>
      <t>VM3:</t>
    </r>
    <r>
      <rPr>
        <i/>
        <sz val="12"/>
        <color rgb="FFC00000"/>
        <rFont val="Arial Narrow"/>
        <family val="2"/>
      </rPr>
      <t xml:space="preserve"> 2vCPU, 8GB RAM, 85GB HD SSD, Conexión red DMZ e IP Pública - Rol: QXPROXYTEST.  </t>
    </r>
    <r>
      <rPr>
        <b/>
        <i/>
        <u/>
        <sz val="12"/>
        <color rgb="FFC00000"/>
        <rFont val="Arial Narrow"/>
        <family val="2"/>
      </rPr>
      <t>VM4:</t>
    </r>
    <r>
      <rPr>
        <i/>
        <sz val="12"/>
        <color rgb="FFC00000"/>
        <rFont val="Arial Narrow"/>
        <family val="2"/>
      </rPr>
      <t xml:space="preserve"> 2vCPU, 8GB RAM, 85GB HD SSD y Conexión red Inside - Rol: QXSSDDBACKOFFICETEST.  </t>
    </r>
    <r>
      <rPr>
        <b/>
        <i/>
        <u/>
        <sz val="12"/>
        <color rgb="FFC00000"/>
        <rFont val="Arial Narrow"/>
        <family val="2"/>
      </rPr>
      <t>VM5:</t>
    </r>
    <r>
      <rPr>
        <i/>
        <sz val="12"/>
        <color rgb="FFC00000"/>
        <rFont val="Arial Narrow"/>
        <family val="2"/>
      </rPr>
      <t xml:space="preserve"> 2vCPU, 8GB RAM, 85GB HD SSD y Conexión red Inside - Rol: QXSSDDFRONTTEST.  </t>
    </r>
    <r>
      <rPr>
        <b/>
        <i/>
        <u/>
        <sz val="12"/>
        <color rgb="FFC00000"/>
        <rFont val="Arial Narrow"/>
        <family val="2"/>
      </rPr>
      <t>VM6:</t>
    </r>
    <r>
      <rPr>
        <i/>
        <sz val="12"/>
        <color rgb="FFC00000"/>
        <rFont val="Arial Narrow"/>
        <family val="2"/>
      </rPr>
      <t xml:space="preserve"> 2vCPU, 8GB RAM, 85GB HD SSD y Conexión red Inside - Rol: QXTRANSVERSALESTEST.</t>
    </r>
    <r>
      <rPr>
        <sz val="12"/>
        <color rgb="FFC00000"/>
        <rFont val="Arial Narrow"/>
        <family val="2"/>
      </rPr>
      <t>"  Recursos aprobados por la Directora de Tecnología e Información</t>
    </r>
  </si>
  <si>
    <t>Adjuntar el diagrama del servicio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</si>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</sst>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19" x14ac:knownFonts="1">
    <font>
      <sz val="11"/>
      <color theme="1"/>
      <name val="Calibri"/>
      <family val="2"/>
      <scheme val="minor"/>
    </font>
    <font>
      <sz val="9"/>
      <color indexed="81"/>
      <name val="Tahoma"/>
      <family val="2"/>
    </font>
    <font>
      <b/>
      <sz val="9"/>
      <color indexed="81"/>
      <name val="Tahoma"/>
      <family val="2"/>
    </font>
    <font>
      <sz val="10"/>
      <name val="Arial"/>
      <family val="2"/>
    </font>
    <font>
      <b/>
      <sz val="12"/>
      <color indexed="81"/>
      <name val="Arial Narrow"/>
      <family val="2"/>
    </font>
    <font>
      <sz val="12"/>
      <color indexed="81"/>
      <name val="Arial Narrow"/>
      <family val="2"/>
    </font>
    <font>
      <u/>
      <sz val="12"/>
      <color indexed="81"/>
      <name val="Arial Narrow"/>
      <family val="2"/>
    </font>
    <font>
      <i/>
      <sz val="12"/>
      <color indexed="81"/>
      <name val="Arial Narrow"/>
      <family val="2"/>
    </font>
    <font>
      <b/>
      <u/>
      <sz val="12"/>
      <color indexed="81"/>
      <name val="Arial Narrow"/>
      <family val="2"/>
    </font>
    <font>
      <b/>
      <sz val="12"/>
      <color theme="1" tint="0.14999847407452621"/>
      <name val="Arial Narrow"/>
      <family val="2"/>
    </font>
    <font>
      <sz val="12"/>
      <color theme="1" tint="0.14999847407452621"/>
      <name val="Arial Narrow"/>
      <family val="2"/>
    </font>
    <font>
      <sz val="12"/>
      <color indexed="81"/>
      <name val="Tahoma"/>
      <family val="2"/>
    </font>
    <font>
      <b/>
      <sz val="12"/>
      <name val="Arial Narrow"/>
      <family val="2"/>
    </font>
    <font>
      <sz val="12"/>
      <name val="Arial Narrow"/>
      <family val="2"/>
    </font>
    <font>
      <b/>
      <sz val="12"/>
      <color rgb="FFC00000"/>
      <name val="Arial Narrow"/>
      <family val="2"/>
    </font>
    <font>
      <sz val="12"/>
      <color rgb="FFC00000"/>
      <name val="Arial Narrow"/>
      <family val="2"/>
    </font>
    <font>
      <i/>
      <sz val="12"/>
      <color rgb="FFC00000"/>
      <name val="Arial Narrow"/>
      <family val="2"/>
    </font>
    <font>
      <b/>
      <i/>
      <u/>
      <sz val="12"/>
      <color rgb="FFC00000"/>
      <name val="Arial Narrow"/>
      <family val="2"/>
    </font>
    <font>
      <b/>
      <sz val="11"/>
      <color rgb="FFC00000"/>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rgb="FFFF0000"/>
        <bgColor indexed="64"/>
      </patternFill>
    </fill>
    <fill>
      <patternFill patternType="solid">
        <fgColor rgb="FFFF6600"/>
        <bgColor indexed="64"/>
      </patternFill>
    </fill>
    <fill>
      <patternFill patternType="solid">
        <fgColor rgb="FFF9E807"/>
        <bgColor indexed="64"/>
      </patternFill>
    </fill>
    <fill>
      <patternFill patternType="solid">
        <fgColor rgb="FFFFFF00"/>
        <bgColor indexed="64"/>
      </patternFill>
    </fill>
    <fill>
      <patternFill patternType="solid">
        <fgColor theme="2" tint="-0.249977111117893"/>
        <bgColor indexed="64"/>
      </patternFill>
    </fill>
  </fills>
  <borders count="15">
    <border>
      <left/>
      <right/>
      <top/>
      <bottom/>
      <diagonal/>
    </border>
    <border>
      <left/>
      <right style="double">
        <color theme="4" tint="-0.499984740745262"/>
      </right>
      <top style="double">
        <color theme="4" tint="-0.499984740745262"/>
      </top>
      <bottom style="double">
        <color theme="4"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cellStyleXfs>
  <cellXfs count="96">
    <xf numFmtId="0" fontId="0" fillId="0" borderId="0" xfId="0"/>
    <xf numFmtId="0" fontId="10" fillId="0" borderId="0" xfId="1" applyFont="1" applyAlignment="1">
      <alignment vertical="center"/>
    </xf>
    <xf numFmtId="0" fontId="10" fillId="2" borderId="0" xfId="1" applyFont="1" applyFill="1" applyAlignment="1">
      <alignment vertical="center"/>
    </xf>
    <xf numFmtId="0" fontId="10" fillId="0" borderId="0" xfId="1" applyFont="1" applyAlignment="1">
      <alignment horizontal="left" vertical="center"/>
    </xf>
    <xf numFmtId="0" fontId="9" fillId="0" borderId="1" xfId="1" applyFont="1" applyBorder="1" applyAlignment="1">
      <alignment vertical="center"/>
    </xf>
    <xf numFmtId="0" fontId="9" fillId="0" borderId="0" xfId="1" applyFont="1" applyAlignment="1">
      <alignment vertical="center"/>
    </xf>
    <xf numFmtId="0" fontId="9" fillId="3" borderId="0" xfId="1" applyFont="1" applyFill="1" applyAlignment="1">
      <alignment vertical="center"/>
    </xf>
    <xf numFmtId="16" fontId="10" fillId="3" borderId="0" xfId="1" applyNumberFormat="1" applyFont="1" applyFill="1" applyAlignment="1">
      <alignment vertical="center"/>
    </xf>
    <xf numFmtId="0" fontId="9" fillId="4" borderId="0" xfId="1" applyFont="1" applyFill="1" applyAlignment="1">
      <alignment vertical="center"/>
    </xf>
    <xf numFmtId="0" fontId="10" fillId="4" borderId="0" xfId="1" applyFont="1" applyFill="1" applyAlignment="1">
      <alignment vertical="center"/>
    </xf>
    <xf numFmtId="0" fontId="9" fillId="5" borderId="0" xfId="1" applyFont="1" applyFill="1" applyAlignment="1">
      <alignment vertical="center"/>
    </xf>
    <xf numFmtId="0" fontId="10" fillId="5" borderId="0" xfId="1" applyFont="1" applyFill="1" applyAlignment="1">
      <alignment vertical="center"/>
    </xf>
    <xf numFmtId="0" fontId="13" fillId="0" borderId="0" xfId="0" applyFont="1" applyAlignment="1">
      <alignment vertical="center"/>
    </xf>
    <xf numFmtId="0" fontId="12" fillId="2" borderId="2" xfId="0" applyFont="1" applyFill="1" applyBorder="1" applyAlignment="1">
      <alignment horizontal="center" vertical="center" wrapText="1"/>
    </xf>
    <xf numFmtId="0" fontId="13" fillId="0" borderId="0" xfId="0" applyFont="1" applyAlignment="1">
      <alignment horizontal="center" vertical="center"/>
    </xf>
    <xf numFmtId="0" fontId="12" fillId="0" borderId="0" xfId="0" applyFont="1" applyAlignment="1">
      <alignment horizontal="left" vertical="center" wrapText="1"/>
    </xf>
    <xf numFmtId="164" fontId="13" fillId="0" borderId="2" xfId="0" applyNumberFormat="1" applyFont="1" applyBorder="1" applyAlignment="1">
      <alignment horizontal="center" vertical="center"/>
    </xf>
    <xf numFmtId="164" fontId="12" fillId="0" borderId="2" xfId="0" applyNumberFormat="1" applyFont="1" applyBorder="1" applyAlignment="1">
      <alignment horizontal="center" vertical="center"/>
    </xf>
    <xf numFmtId="20" fontId="12" fillId="0" borderId="0" xfId="0" applyNumberFormat="1" applyFont="1" applyAlignment="1">
      <alignment horizontal="center" vertical="center" wrapText="1"/>
    </xf>
    <xf numFmtId="20" fontId="12" fillId="0" borderId="5" xfId="0" applyNumberFormat="1" applyFont="1" applyBorder="1" applyAlignment="1">
      <alignment horizontal="center" vertical="center" wrapText="1"/>
    </xf>
    <xf numFmtId="0" fontId="12" fillId="0" borderId="2" xfId="0" applyFont="1" applyBorder="1" applyAlignment="1">
      <alignment horizontal="center" vertical="center" wrapText="1"/>
    </xf>
    <xf numFmtId="0" fontId="9" fillId="0" borderId="2" xfId="1" applyFont="1" applyBorder="1" applyAlignment="1">
      <alignment horizontal="center" vertical="center"/>
    </xf>
    <xf numFmtId="0" fontId="9" fillId="2" borderId="2" xfId="1" applyFont="1" applyFill="1" applyBorder="1" applyAlignment="1">
      <alignment horizontal="center" vertical="center"/>
    </xf>
    <xf numFmtId="0" fontId="13" fillId="0" borderId="2" xfId="0" applyFont="1" applyBorder="1" applyAlignment="1">
      <alignment horizontal="center" vertical="center" wrapText="1"/>
    </xf>
    <xf numFmtId="0" fontId="13" fillId="0" borderId="2" xfId="0" applyFont="1" applyBorder="1" applyAlignment="1">
      <alignment horizontal="justify" vertical="center" wrapText="1"/>
    </xf>
    <xf numFmtId="20" fontId="13" fillId="0" borderId="2" xfId="0" applyNumberFormat="1" applyFont="1" applyBorder="1" applyAlignment="1">
      <alignment horizontal="center" vertical="center"/>
    </xf>
    <xf numFmtId="0" fontId="13" fillId="0" borderId="2" xfId="0" applyFont="1" applyBorder="1" applyAlignment="1">
      <alignment horizontal="left" vertical="center" wrapText="1"/>
    </xf>
    <xf numFmtId="0" fontId="9" fillId="0" borderId="2" xfId="1" applyFont="1" applyBorder="1" applyAlignment="1">
      <alignment vertical="center"/>
    </xf>
    <xf numFmtId="0" fontId="10" fillId="0" borderId="2" xfId="1" applyFont="1" applyBorder="1" applyAlignment="1" applyProtection="1">
      <alignment vertical="center"/>
      <protection locked="0"/>
    </xf>
    <xf numFmtId="22" fontId="13" fillId="0" borderId="2" xfId="0" applyNumberFormat="1" applyFont="1" applyBorder="1" applyAlignment="1">
      <alignment horizontal="center" vertical="center"/>
    </xf>
    <xf numFmtId="0" fontId="12" fillId="0" borderId="3" xfId="0" applyFont="1" applyBorder="1" applyAlignment="1">
      <alignment horizontal="left" vertical="center"/>
    </xf>
    <xf numFmtId="0" fontId="12" fillId="0" borderId="9" xfId="0" applyFont="1" applyBorder="1" applyAlignment="1">
      <alignment horizontal="left" vertical="center"/>
    </xf>
    <xf numFmtId="0" fontId="12" fillId="0" borderId="4" xfId="0" applyFont="1" applyBorder="1" applyAlignment="1">
      <alignment horizontal="left" vertical="center"/>
    </xf>
    <xf numFmtId="0" fontId="13" fillId="0" borderId="3" xfId="0" applyFont="1" applyBorder="1" applyAlignment="1">
      <alignment horizontal="left" vertical="center"/>
    </xf>
    <xf numFmtId="0" fontId="13" fillId="0" borderId="9" xfId="0" applyFont="1" applyBorder="1" applyAlignment="1">
      <alignment horizontal="left" vertical="center"/>
    </xf>
    <xf numFmtId="0" fontId="13" fillId="0" borderId="4" xfId="0" applyFont="1" applyBorder="1" applyAlignment="1">
      <alignment horizontal="left" vertical="center"/>
    </xf>
    <xf numFmtId="0" fontId="12" fillId="0" borderId="3" xfId="0" applyFont="1" applyBorder="1" applyAlignment="1">
      <alignment horizontal="left" vertical="center" wrapText="1"/>
    </xf>
    <xf numFmtId="0" fontId="12" fillId="0" borderId="9" xfId="0" applyFont="1" applyBorder="1" applyAlignment="1">
      <alignment horizontal="left" vertical="center" wrapText="1"/>
    </xf>
    <xf numFmtId="0" fontId="12" fillId="0" borderId="4" xfId="0" applyFont="1" applyBorder="1" applyAlignment="1">
      <alignment horizontal="left" vertical="center" wrapText="1"/>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10" xfId="0" applyFont="1" applyBorder="1" applyAlignment="1">
      <alignment horizontal="center" vertical="center"/>
    </xf>
    <xf numFmtId="0" fontId="12" fillId="0" borderId="0" xfId="0" applyFont="1" applyAlignment="1">
      <alignment horizontal="center"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14" fontId="12" fillId="0" borderId="3" xfId="0" applyNumberFormat="1" applyFont="1" applyBorder="1" applyAlignment="1">
      <alignment horizontal="center" vertical="center"/>
    </xf>
    <xf numFmtId="14" fontId="12" fillId="0" borderId="4" xfId="0" applyNumberFormat="1" applyFont="1" applyBorder="1" applyAlignment="1">
      <alignment horizontal="center" vertical="center"/>
    </xf>
    <xf numFmtId="0" fontId="13" fillId="6" borderId="3" xfId="0" applyFont="1" applyFill="1" applyBorder="1" applyAlignment="1">
      <alignment horizontal="center" vertical="center"/>
    </xf>
    <xf numFmtId="0" fontId="13" fillId="6" borderId="9" xfId="0" applyFont="1" applyFill="1" applyBorder="1" applyAlignment="1">
      <alignment horizontal="center" vertical="center"/>
    </xf>
    <xf numFmtId="0" fontId="13" fillId="6" borderId="4" xfId="0" applyFont="1" applyFill="1" applyBorder="1" applyAlignment="1">
      <alignment horizontal="center" vertical="center"/>
    </xf>
    <xf numFmtId="14" fontId="13" fillId="0" borderId="3" xfId="0" applyNumberFormat="1" applyFont="1" applyBorder="1" applyAlignment="1">
      <alignment horizontal="center" vertical="center"/>
    </xf>
    <xf numFmtId="14" fontId="13" fillId="0" borderId="9" xfId="0" applyNumberFormat="1" applyFont="1" applyBorder="1" applyAlignment="1">
      <alignment horizontal="center" vertical="center"/>
    </xf>
    <xf numFmtId="14" fontId="13" fillId="0" borderId="4" xfId="0" applyNumberFormat="1" applyFont="1" applyBorder="1" applyAlignment="1">
      <alignment horizontal="center" vertical="center"/>
    </xf>
    <xf numFmtId="0" fontId="12" fillId="0" borderId="2" xfId="0" applyFont="1" applyBorder="1" applyAlignment="1">
      <alignment horizontal="left" vertical="center"/>
    </xf>
    <xf numFmtId="0" fontId="13" fillId="0" borderId="2" xfId="0" applyFont="1" applyBorder="1" applyAlignment="1">
      <alignment horizontal="left" vertical="center" wrapText="1"/>
    </xf>
    <xf numFmtId="0" fontId="13" fillId="7" borderId="2" xfId="0" applyFont="1" applyFill="1" applyBorder="1" applyAlignment="1">
      <alignment horizontal="left" vertical="center"/>
    </xf>
    <xf numFmtId="0" fontId="13" fillId="0" borderId="2" xfId="0" applyFont="1" applyBorder="1" applyAlignment="1">
      <alignment horizontal="justify" vertical="center" wrapText="1"/>
    </xf>
    <xf numFmtId="0" fontId="12" fillId="0" borderId="2" xfId="0" applyFont="1" applyBorder="1" applyAlignment="1">
      <alignment horizontal="left" vertical="center" wrapText="1"/>
    </xf>
    <xf numFmtId="14" fontId="12" fillId="0" borderId="2" xfId="0" applyNumberFormat="1" applyFont="1" applyBorder="1" applyAlignment="1">
      <alignment horizontal="center" vertical="center"/>
    </xf>
    <xf numFmtId="0" fontId="13" fillId="0" borderId="2" xfId="0" applyFont="1" applyBorder="1" applyAlignment="1">
      <alignment horizontal="left" vertical="center"/>
    </xf>
    <xf numFmtId="0" fontId="12" fillId="0" borderId="2" xfId="0" applyFont="1" applyBorder="1" applyAlignment="1">
      <alignment horizontal="justify" vertical="center" wrapText="1"/>
    </xf>
    <xf numFmtId="0" fontId="12" fillId="0" borderId="2" xfId="0" applyFont="1" applyBorder="1" applyAlignment="1">
      <alignment horizontal="center" vertical="center" wrapText="1"/>
    </xf>
    <xf numFmtId="0" fontId="12" fillId="2" borderId="6" xfId="0" applyFont="1" applyFill="1" applyBorder="1" applyAlignment="1">
      <alignment horizontal="center" vertical="center"/>
    </xf>
    <xf numFmtId="0" fontId="12" fillId="2" borderId="7" xfId="0" applyFont="1" applyFill="1" applyBorder="1" applyAlignment="1">
      <alignment horizontal="center" vertical="center"/>
    </xf>
    <xf numFmtId="0" fontId="12" fillId="2" borderId="8" xfId="0" applyFont="1" applyFill="1" applyBorder="1" applyAlignment="1">
      <alignment horizontal="center" vertical="center"/>
    </xf>
    <xf numFmtId="0" fontId="12" fillId="2" borderId="2" xfId="0" applyFont="1" applyFill="1" applyBorder="1" applyAlignment="1">
      <alignment horizontal="center" vertical="center"/>
    </xf>
    <xf numFmtId="0" fontId="12" fillId="0" borderId="0" xfId="0" applyFont="1" applyAlignment="1">
      <alignment horizontal="left" vertical="center"/>
    </xf>
    <xf numFmtId="0" fontId="12" fillId="2" borderId="2" xfId="0" applyFont="1" applyFill="1" applyBorder="1" applyAlignment="1">
      <alignment horizontal="center" vertical="center" wrapText="1"/>
    </xf>
    <xf numFmtId="0" fontId="13" fillId="0" borderId="2" xfId="0" applyFont="1" applyBorder="1" applyAlignment="1">
      <alignment horizontal="center" vertical="center"/>
    </xf>
    <xf numFmtId="0" fontId="13" fillId="0" borderId="0" xfId="0" applyFont="1" applyAlignment="1">
      <alignment horizontal="center" vertical="center"/>
    </xf>
    <xf numFmtId="0" fontId="9" fillId="0" borderId="2" xfId="1" applyFont="1" applyBorder="1" applyAlignment="1">
      <alignment horizontal="left" vertical="center"/>
    </xf>
    <xf numFmtId="0" fontId="9" fillId="2" borderId="2" xfId="0" applyFont="1" applyFill="1" applyBorder="1" applyAlignment="1">
      <alignment horizontal="center" vertical="center" wrapText="1"/>
    </xf>
    <xf numFmtId="0" fontId="9" fillId="2" borderId="2" xfId="1" applyFont="1" applyFill="1" applyBorder="1" applyAlignment="1">
      <alignment horizontal="center" vertical="center"/>
    </xf>
    <xf numFmtId="0" fontId="9" fillId="0" borderId="2" xfId="1" applyFont="1" applyBorder="1" applyAlignment="1">
      <alignment horizontal="center" vertical="center"/>
    </xf>
    <xf numFmtId="0" fontId="13" fillId="7" borderId="2" xfId="0" applyFont="1" applyFill="1" applyBorder="1" applyAlignment="1">
      <alignment horizontal="left" vertical="center" wrapText="1"/>
    </xf>
    <xf numFmtId="0" fontId="12" fillId="7" borderId="3" xfId="0" applyFont="1" applyFill="1" applyBorder="1" applyAlignment="1">
      <alignment horizontal="justify" vertical="center" wrapText="1"/>
    </xf>
    <xf numFmtId="0" fontId="12" fillId="7" borderId="4" xfId="0" applyFont="1" applyFill="1" applyBorder="1" applyAlignment="1">
      <alignment horizontal="justify" vertical="center" wrapText="1"/>
    </xf>
    <xf numFmtId="0" fontId="12" fillId="7" borderId="9" xfId="0" applyFont="1" applyFill="1" applyBorder="1" applyAlignment="1">
      <alignment horizontal="justify" vertical="center" wrapText="1"/>
    </xf>
    <xf numFmtId="0" fontId="14" fillId="7" borderId="2" xfId="0" applyFont="1" applyFill="1" applyBorder="1" applyAlignment="1">
      <alignment horizontal="left" vertical="center" wrapText="1"/>
    </xf>
    <xf numFmtId="0" fontId="14" fillId="7" borderId="2" xfId="0" applyFont="1" applyFill="1" applyBorder="1" applyAlignment="1">
      <alignment horizontal="left" vertical="center"/>
    </xf>
    <xf numFmtId="0" fontId="14" fillId="7" borderId="2" xfId="0" applyFont="1" applyFill="1" applyBorder="1" applyAlignment="1">
      <alignment horizontal="center" vertical="center" wrapText="1"/>
    </xf>
    <xf numFmtId="0" fontId="15" fillId="7" borderId="2" xfId="0" applyFont="1" applyFill="1" applyBorder="1" applyAlignment="1">
      <alignment horizontal="center" vertical="center" wrapText="1"/>
    </xf>
    <xf numFmtId="0" fontId="13" fillId="0" borderId="0" xfId="0" applyFont="1" applyBorder="1" applyAlignment="1">
      <alignment horizontal="center" vertical="center" wrapText="1"/>
    </xf>
    <xf numFmtId="0" fontId="12" fillId="0" borderId="0" xfId="0" applyFont="1" applyBorder="1" applyAlignment="1">
      <alignment horizontal="center" vertical="center" wrapText="1"/>
    </xf>
    <xf numFmtId="0" fontId="13" fillId="0" borderId="0" xfId="0" applyFont="1" applyBorder="1" applyAlignment="1">
      <alignment horizontal="left" vertical="center" wrapText="1"/>
    </xf>
    <xf numFmtId="0" fontId="12" fillId="7" borderId="2" xfId="0" applyFont="1" applyFill="1" applyBorder="1" applyAlignment="1">
      <alignment horizontal="left" vertical="center" wrapText="1"/>
    </xf>
    <xf numFmtId="0" fontId="14" fillId="7" borderId="2" xfId="1" applyFont="1" applyFill="1" applyBorder="1" applyAlignment="1" applyProtection="1">
      <alignment horizontal="justify" vertical="center" wrapText="1"/>
      <protection locked="0"/>
    </xf>
    <xf numFmtId="0" fontId="14" fillId="7" borderId="2" xfId="1" applyFont="1" applyFill="1" applyBorder="1" applyAlignment="1">
      <alignment horizontal="left" vertical="center" wrapText="1"/>
    </xf>
    <xf numFmtId="0" fontId="15" fillId="7" borderId="2" xfId="1" applyFont="1" applyFill="1" applyBorder="1" applyAlignment="1">
      <alignment horizontal="justify" vertical="center" wrapText="1"/>
    </xf>
    <xf numFmtId="0" fontId="18" fillId="7" borderId="0" xfId="0" applyFont="1" applyFill="1" applyAlignment="1">
      <alignment horizontal="center"/>
    </xf>
    <xf numFmtId="0" fontId="15" fillId="7" borderId="2" xfId="1" applyFont="1" applyFill="1" applyBorder="1" applyAlignment="1" applyProtection="1">
      <alignment vertical="center"/>
      <protection locked="0"/>
    </xf>
    <xf numFmtId="20" fontId="14" fillId="7" borderId="2" xfId="0" applyNumberFormat="1" applyFont="1" applyFill="1" applyBorder="1" applyAlignment="1">
      <alignment horizontal="center" vertical="center" wrapText="1"/>
    </xf>
    <xf numFmtId="0" fontId="15" fillId="7" borderId="2" xfId="0" applyFont="1" applyFill="1" applyBorder="1" applyAlignment="1">
      <alignment horizontal="justify" vertical="center" wrapText="1"/>
    </xf>
  </cellXfs>
  <cellStyles count="2">
    <cellStyle name="Normal" xfId="0" builtinId="0"/>
    <cellStyle name="Normal 2 2 2" xfId="1" xr:uid="{00000000-0005-0000-0000-000001000000}"/>
  </cellStyles>
  <dxfs count="6">
    <dxf>
      <fill>
        <patternFill>
          <bgColor rgb="FFFF0000"/>
        </patternFill>
      </fill>
    </dxf>
    <dxf>
      <fill>
        <patternFill>
          <bgColor rgb="FFFF6600"/>
        </patternFill>
      </fill>
    </dxf>
    <dxf>
      <fill>
        <patternFill>
          <bgColor rgb="FFFFFF00"/>
        </patternFill>
      </fill>
    </dxf>
    <dxf>
      <fill>
        <patternFill>
          <bgColor rgb="FFC00000"/>
        </patternFill>
      </fill>
    </dxf>
    <dxf>
      <fill>
        <patternFill>
          <bgColor theme="9" tint="-0.24994659260841701"/>
        </patternFill>
      </fill>
    </dxf>
    <dxf>
      <fill>
        <patternFill>
          <bgColor rgb="FFFFC000"/>
        </patternFill>
      </fill>
    </dxf>
  </dxfs>
  <tableStyles count="0" defaultTableStyle="TableStyleMedium2" defaultPivotStyle="PivotStyleLight16"/>
  <colors>
    <mruColors>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0</xdr:colOff>
      <xdr:row>23</xdr:row>
      <xdr:rowOff>9525</xdr:rowOff>
    </xdr:from>
    <xdr:to>
      <xdr:col>3</xdr:col>
      <xdr:colOff>0</xdr:colOff>
      <xdr:row>23</xdr:row>
      <xdr:rowOff>581025</xdr:rowOff>
    </xdr:to>
    <xdr:cxnSp macro="">
      <xdr:nvCxnSpPr>
        <xdr:cNvPr id="4" name="3 Conector recto">
          <a:extLst>
            <a:ext uri="{FF2B5EF4-FFF2-40B4-BE49-F238E27FC236}">
              <a16:creationId xmlns:a16="http://schemas.microsoft.com/office/drawing/2014/main" id="{00000000-0008-0000-0000-000004000000}"/>
            </a:ext>
          </a:extLst>
        </xdr:cNvPr>
        <xdr:cNvCxnSpPr/>
      </xdr:nvCxnSpPr>
      <xdr:spPr>
        <a:xfrm>
          <a:off x="285750" y="1295400"/>
          <a:ext cx="2705100" cy="5715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870856</xdr:colOff>
      <xdr:row>1</xdr:row>
      <xdr:rowOff>136071</xdr:rowOff>
    </xdr:from>
    <xdr:to>
      <xdr:col>2</xdr:col>
      <xdr:colOff>2880018</xdr:colOff>
      <xdr:row>3</xdr:row>
      <xdr:rowOff>258536</xdr:rowOff>
    </xdr:to>
    <xdr:pic>
      <xdr:nvPicPr>
        <xdr:cNvPr id="2" name="Imagen 1">
          <a:extLst>
            <a:ext uri="{FF2B5EF4-FFF2-40B4-BE49-F238E27FC236}">
              <a16:creationId xmlns:a16="http://schemas.microsoft.com/office/drawing/2014/main" id="{932B804F-815C-0505-664B-AC9C99D8F4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b="3664"/>
        <a:stretch>
          <a:fillRect/>
        </a:stretch>
      </xdr:blipFill>
      <xdr:spPr bwMode="auto">
        <a:xfrm>
          <a:off x="1387927" y="340178"/>
          <a:ext cx="2009162" cy="107496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0</xdr:row>
      <xdr:rowOff>123825</xdr:rowOff>
    </xdr:from>
    <xdr:to>
      <xdr:col>11</xdr:col>
      <xdr:colOff>334570</xdr:colOff>
      <xdr:row>8</xdr:row>
      <xdr:rowOff>57353</xdr:rowOff>
    </xdr:to>
    <xdr:pic>
      <xdr:nvPicPr>
        <xdr:cNvPr id="4" name="Imagen 3">
          <a:extLst>
            <a:ext uri="{FF2B5EF4-FFF2-40B4-BE49-F238E27FC236}">
              <a16:creationId xmlns:a16="http://schemas.microsoft.com/office/drawing/2014/main" id="{37785CDB-D403-2486-ABF7-541E4EA281C6}"/>
            </a:ext>
          </a:extLst>
        </xdr:cNvPr>
        <xdr:cNvPicPr>
          <a:picLocks noChangeAspect="1"/>
        </xdr:cNvPicPr>
      </xdr:nvPicPr>
      <xdr:blipFill>
        <a:blip xmlns:r="http://schemas.openxmlformats.org/officeDocument/2006/relationships" r:embed="rId1"/>
        <a:stretch>
          <a:fillRect/>
        </a:stretch>
      </xdr:blipFill>
      <xdr:spPr>
        <a:xfrm>
          <a:off x="152400" y="123825"/>
          <a:ext cx="8564170" cy="14575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ww.minagricultura.gov.co/Users/kmurcia/AppData/Local/Microsoft/Windows/Temporary%20Internet%20Files/Content.Outlook/PRY0NCWC/Cambio%20Admon%20Plataforma%20No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vo RFC"/>
      <sheetName val="RFC"/>
      <sheetName val="Matriz impacto-riesgo"/>
      <sheetName val="Instructivo Matriz"/>
    </sheetNames>
    <sheetDataSet>
      <sheetData sheetId="0"/>
      <sheetData sheetId="1"/>
      <sheetData sheetId="2">
        <row r="4">
          <cell r="R4" t="str">
            <v>0 veces</v>
          </cell>
        </row>
        <row r="5">
          <cell r="R5" t="str">
            <v>1-2 veces</v>
          </cell>
        </row>
        <row r="6">
          <cell r="R6" t="str">
            <v>3 o más veces</v>
          </cell>
        </row>
        <row r="7">
          <cell r="R7" t="str">
            <v>Alto</v>
          </cell>
        </row>
        <row r="8">
          <cell r="R8" t="str">
            <v>Bajo</v>
          </cell>
        </row>
        <row r="9">
          <cell r="R9" t="str">
            <v>Medio</v>
          </cell>
        </row>
        <row r="10">
          <cell r="R10" t="str">
            <v>Alta</v>
          </cell>
        </row>
        <row r="11">
          <cell r="R11" t="str">
            <v>Media</v>
          </cell>
        </row>
        <row r="12">
          <cell r="R12" t="str">
            <v>Baja</v>
          </cell>
        </row>
        <row r="13">
          <cell r="R13" t="str">
            <v>Total usuarios</v>
          </cell>
        </row>
        <row r="14">
          <cell r="R14" t="str">
            <v>Área(s) específica(s)</v>
          </cell>
        </row>
        <row r="15">
          <cell r="R15" t="str">
            <v>Ninguno</v>
          </cell>
        </row>
        <row r="16">
          <cell r="R16" t="str">
            <v>Si</v>
          </cell>
        </row>
        <row r="17">
          <cell r="R17" t="str">
            <v>No</v>
          </cell>
        </row>
        <row r="18">
          <cell r="R18" t="str">
            <v>Sanciones, Multas</v>
          </cell>
        </row>
        <row r="19">
          <cell r="R19" t="str">
            <v>Afectación Servicio</v>
          </cell>
        </row>
        <row r="20">
          <cell r="R20" t="str">
            <v>Otros</v>
          </cell>
        </row>
        <row r="21">
          <cell r="R21" t="str">
            <v>Ninguno</v>
          </cell>
        </row>
        <row r="22">
          <cell r="R22" t="str">
            <v>Entre 1 y 5</v>
          </cell>
        </row>
        <row r="23">
          <cell r="R23" t="str">
            <v>Entre 6 y 10</v>
          </cell>
        </row>
        <row r="24">
          <cell r="R24" t="str">
            <v>Total servicios</v>
          </cell>
        </row>
        <row r="25">
          <cell r="R25" t="str">
            <v>Ninguno</v>
          </cell>
        </row>
        <row r="26">
          <cell r="R26" t="str">
            <v>Entre 1 y 5</v>
          </cell>
        </row>
        <row r="27">
          <cell r="R27" t="str">
            <v>Entre 6 y 10</v>
          </cell>
        </row>
        <row r="28">
          <cell r="R28" t="str">
            <v>Total aplicativos</v>
          </cell>
        </row>
      </sheetData>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V59"/>
  <sheetViews>
    <sheetView showGridLines="0" tabSelected="1" topLeftCell="A36" zoomScale="70" zoomScaleNormal="70" workbookViewId="0">
      <selection activeCell="D37" sqref="D37"/>
    </sheetView>
  </sheetViews>
  <sheetFormatPr baseColWidth="10" defaultColWidth="11.42578125" defaultRowHeight="15.75" x14ac:dyDescent="0.25"/>
  <cols>
    <col min="1" max="1" width="3.42578125" style="12" customWidth="1"/>
    <col min="2" max="2" width="4.28515625" style="12" customWidth="1"/>
    <col min="3" max="3" width="47" style="12" bestFit="1" customWidth="1"/>
    <col min="4" max="4" width="30.28515625" style="12" bestFit="1" customWidth="1"/>
    <col min="5" max="5" width="28" style="12" customWidth="1"/>
    <col min="6" max="6" width="26.28515625" style="12" customWidth="1"/>
    <col min="7" max="7" width="15.42578125" style="12" customWidth="1"/>
    <col min="8" max="8" width="17.28515625" style="12" bestFit="1" customWidth="1"/>
    <col min="9" max="9" width="29.7109375" style="12" bestFit="1" customWidth="1"/>
    <col min="10" max="10" width="22.140625" style="12" bestFit="1" customWidth="1"/>
    <col min="11" max="11" width="24.5703125" style="12" bestFit="1" customWidth="1"/>
    <col min="12" max="12" width="20.7109375" style="12" bestFit="1" customWidth="1"/>
    <col min="13" max="14" width="20.7109375" style="12" customWidth="1"/>
    <col min="15" max="15" width="22.42578125" style="12" customWidth="1"/>
    <col min="16" max="16" width="28.42578125" style="12" customWidth="1"/>
    <col min="17" max="21" width="11.42578125" style="12"/>
    <col min="22" max="22" width="0" style="12" hidden="1" customWidth="1"/>
    <col min="23" max="16384" width="11.42578125" style="12"/>
  </cols>
  <sheetData>
    <row r="2" spans="2:22" ht="37.5" customHeight="1" x14ac:dyDescent="0.25">
      <c r="B2" s="39" t="s">
        <v>2</v>
      </c>
      <c r="C2" s="40"/>
      <c r="D2" s="40"/>
      <c r="E2" s="40"/>
      <c r="F2" s="40"/>
      <c r="G2" s="40"/>
      <c r="H2" s="40"/>
      <c r="I2" s="40"/>
      <c r="J2" s="40"/>
      <c r="K2" s="41"/>
      <c r="L2" s="30" t="s">
        <v>20</v>
      </c>
      <c r="M2" s="31"/>
      <c r="N2" s="31"/>
      <c r="O2" s="31"/>
      <c r="P2" s="32"/>
    </row>
    <row r="3" spans="2:22" ht="37.5" customHeight="1" x14ac:dyDescent="0.25">
      <c r="B3" s="42"/>
      <c r="C3" s="43"/>
      <c r="D3" s="43"/>
      <c r="E3" s="43"/>
      <c r="F3" s="43"/>
      <c r="G3" s="43"/>
      <c r="H3" s="43"/>
      <c r="I3" s="43"/>
      <c r="J3" s="43"/>
      <c r="K3" s="44"/>
      <c r="L3" s="33" t="s">
        <v>71</v>
      </c>
      <c r="M3" s="34"/>
      <c r="N3" s="34"/>
      <c r="O3" s="34"/>
      <c r="P3" s="35"/>
    </row>
    <row r="4" spans="2:22" ht="37.5" customHeight="1" x14ac:dyDescent="0.25">
      <c r="B4" s="45"/>
      <c r="C4" s="46"/>
      <c r="D4" s="46"/>
      <c r="E4" s="46"/>
      <c r="F4" s="46"/>
      <c r="G4" s="46"/>
      <c r="H4" s="46"/>
      <c r="I4" s="46"/>
      <c r="J4" s="46"/>
      <c r="K4" s="47"/>
      <c r="L4" s="36" t="s">
        <v>70</v>
      </c>
      <c r="M4" s="37"/>
      <c r="N4" s="37"/>
      <c r="O4" s="37"/>
      <c r="P4" s="38"/>
    </row>
    <row r="5" spans="2:22" x14ac:dyDescent="0.25">
      <c r="B5" s="56" t="s">
        <v>6</v>
      </c>
      <c r="C5" s="56"/>
      <c r="D5" s="53">
        <v>46001</v>
      </c>
      <c r="E5" s="54"/>
      <c r="F5" s="54"/>
      <c r="G5" s="54"/>
      <c r="H5" s="54"/>
      <c r="I5" s="55"/>
      <c r="J5" s="48" t="s">
        <v>62</v>
      </c>
      <c r="K5" s="49"/>
      <c r="L5" s="50"/>
      <c r="M5" s="51"/>
      <c r="N5" s="51"/>
      <c r="O5" s="51"/>
      <c r="P5" s="52"/>
      <c r="V5" s="12" t="s">
        <v>68</v>
      </c>
    </row>
    <row r="6" spans="2:22" x14ac:dyDescent="0.25">
      <c r="B6" s="56" t="s">
        <v>58</v>
      </c>
      <c r="C6" s="56"/>
      <c r="D6" s="61" t="s">
        <v>68</v>
      </c>
      <c r="E6" s="61"/>
      <c r="F6" s="61"/>
      <c r="G6" s="61"/>
      <c r="H6" s="61"/>
      <c r="I6" s="61"/>
      <c r="J6" s="61"/>
      <c r="K6" s="61"/>
      <c r="L6" s="61"/>
      <c r="M6" s="61"/>
      <c r="N6" s="61"/>
      <c r="O6" s="61"/>
      <c r="P6" s="61"/>
      <c r="V6" s="12" t="s">
        <v>59</v>
      </c>
    </row>
    <row r="7" spans="2:22" x14ac:dyDescent="0.25">
      <c r="B7" s="56" t="s">
        <v>5</v>
      </c>
      <c r="C7" s="56"/>
      <c r="D7" s="62" t="s">
        <v>134</v>
      </c>
      <c r="E7" s="62"/>
      <c r="F7" s="62"/>
      <c r="G7" s="62"/>
      <c r="H7" s="62"/>
      <c r="I7" s="62"/>
      <c r="J7" s="62"/>
      <c r="K7" s="62"/>
      <c r="L7" s="62"/>
      <c r="M7" s="62"/>
      <c r="N7" s="62"/>
      <c r="O7" s="62"/>
      <c r="P7" s="62"/>
      <c r="V7" s="12" t="s">
        <v>69</v>
      </c>
    </row>
    <row r="8" spans="2:22" x14ac:dyDescent="0.25">
      <c r="B8" s="60" t="s">
        <v>85</v>
      </c>
      <c r="C8" s="60"/>
      <c r="D8" s="57" t="s">
        <v>135</v>
      </c>
      <c r="E8" s="57"/>
      <c r="F8" s="57"/>
      <c r="G8" s="57"/>
      <c r="H8" s="57"/>
      <c r="I8" s="57"/>
      <c r="J8" s="57"/>
      <c r="K8" s="57"/>
      <c r="L8" s="57"/>
      <c r="M8" s="57"/>
      <c r="N8" s="57"/>
      <c r="O8" s="57"/>
      <c r="P8" s="57"/>
    </row>
    <row r="9" spans="2:22" ht="59.25" customHeight="1" x14ac:dyDescent="0.25">
      <c r="B9" s="56" t="s">
        <v>8</v>
      </c>
      <c r="C9" s="56"/>
      <c r="D9" s="59" t="s">
        <v>143</v>
      </c>
      <c r="E9" s="59"/>
      <c r="F9" s="59"/>
      <c r="G9" s="59"/>
      <c r="H9" s="59"/>
      <c r="I9" s="59"/>
      <c r="J9" s="59"/>
      <c r="K9" s="59"/>
      <c r="L9" s="59"/>
      <c r="M9" s="59"/>
      <c r="N9" s="59"/>
      <c r="O9" s="59"/>
      <c r="P9" s="59"/>
    </row>
    <row r="10" spans="2:22" x14ac:dyDescent="0.25">
      <c r="B10" s="56" t="s">
        <v>3</v>
      </c>
      <c r="C10" s="56"/>
      <c r="D10" s="62" t="s">
        <v>132</v>
      </c>
      <c r="E10" s="62"/>
      <c r="F10" s="62"/>
      <c r="G10" s="62"/>
      <c r="H10" s="62"/>
      <c r="I10" s="62"/>
      <c r="J10" s="62"/>
      <c r="K10" s="62"/>
      <c r="L10" s="62"/>
      <c r="M10" s="62"/>
      <c r="N10" s="62"/>
      <c r="O10" s="62"/>
      <c r="P10" s="62"/>
    </row>
    <row r="11" spans="2:22" x14ac:dyDescent="0.25">
      <c r="B11" s="56" t="s">
        <v>4</v>
      </c>
      <c r="C11" s="56"/>
      <c r="D11" s="62" t="s">
        <v>133</v>
      </c>
      <c r="E11" s="62"/>
      <c r="F11" s="62"/>
      <c r="G11" s="62"/>
      <c r="H11" s="62"/>
      <c r="I11" s="62"/>
      <c r="J11" s="62"/>
      <c r="K11" s="62"/>
      <c r="L11" s="62"/>
      <c r="M11" s="62"/>
      <c r="N11" s="62"/>
      <c r="O11" s="62"/>
      <c r="P11" s="62"/>
    </row>
    <row r="12" spans="2:22" ht="48" customHeight="1" x14ac:dyDescent="0.25">
      <c r="B12" s="63" t="s">
        <v>7</v>
      </c>
      <c r="C12" s="63"/>
      <c r="D12" s="58" t="s">
        <v>86</v>
      </c>
      <c r="E12" s="58"/>
      <c r="F12" s="58"/>
      <c r="G12" s="58"/>
      <c r="H12" s="58"/>
      <c r="I12" s="58"/>
      <c r="J12" s="58"/>
      <c r="K12" s="58"/>
      <c r="L12" s="58"/>
      <c r="M12" s="58"/>
      <c r="N12" s="58"/>
      <c r="O12" s="58"/>
      <c r="P12" s="58"/>
    </row>
    <row r="13" spans="2:22" x14ac:dyDescent="0.25">
      <c r="B13" s="60" t="s">
        <v>81</v>
      </c>
      <c r="C13" s="60"/>
      <c r="D13" s="77" t="s">
        <v>144</v>
      </c>
      <c r="E13" s="77"/>
      <c r="F13" s="77"/>
      <c r="G13" s="77"/>
      <c r="H13" s="77"/>
      <c r="I13" s="77"/>
      <c r="J13" s="77"/>
      <c r="K13" s="77"/>
      <c r="L13" s="77"/>
      <c r="M13" s="77"/>
      <c r="N13" s="77"/>
      <c r="O13" s="77"/>
      <c r="P13" s="77"/>
    </row>
    <row r="14" spans="2:22" x14ac:dyDescent="0.25">
      <c r="B14" s="56" t="s">
        <v>82</v>
      </c>
      <c r="C14" s="56"/>
      <c r="D14" s="57" t="s">
        <v>86</v>
      </c>
      <c r="E14" s="57"/>
      <c r="F14" s="57"/>
      <c r="G14" s="57"/>
      <c r="H14" s="57"/>
      <c r="I14" s="57"/>
      <c r="J14" s="57"/>
      <c r="K14" s="57"/>
      <c r="L14" s="57"/>
      <c r="M14" s="57"/>
      <c r="N14" s="57"/>
      <c r="O14" s="57"/>
      <c r="P14" s="57"/>
    </row>
    <row r="15" spans="2:22" ht="40.5" customHeight="1" x14ac:dyDescent="0.25">
      <c r="B15" s="60" t="s">
        <v>61</v>
      </c>
      <c r="C15" s="60"/>
      <c r="D15" s="64" t="str">
        <f>'Matriz de Impacto vs Riesgo'!H20</f>
        <v>MEDIO</v>
      </c>
      <c r="E15" s="64"/>
      <c r="F15" s="64"/>
      <c r="G15" s="64"/>
      <c r="H15" s="64"/>
      <c r="I15" s="64"/>
      <c r="J15" s="64"/>
      <c r="K15" s="64"/>
      <c r="L15" s="64"/>
      <c r="M15" s="64"/>
      <c r="N15" s="64"/>
      <c r="O15" s="64"/>
      <c r="P15" s="64"/>
    </row>
    <row r="16" spans="2:22" x14ac:dyDescent="0.25">
      <c r="B16" s="56" t="s">
        <v>9</v>
      </c>
      <c r="C16" s="56"/>
      <c r="D16" s="58" t="s">
        <v>145</v>
      </c>
      <c r="E16" s="58"/>
      <c r="F16" s="58"/>
      <c r="G16" s="58"/>
      <c r="H16" s="58"/>
      <c r="I16" s="58"/>
      <c r="J16" s="58"/>
      <c r="K16" s="58"/>
      <c r="L16" s="58"/>
      <c r="M16" s="58"/>
      <c r="N16" s="58"/>
      <c r="O16" s="58"/>
      <c r="P16" s="58"/>
    </row>
    <row r="17" spans="2:16" ht="144" customHeight="1" x14ac:dyDescent="0.25">
      <c r="B17" s="56" t="s">
        <v>79</v>
      </c>
      <c r="C17" s="56"/>
      <c r="D17" s="78" t="s">
        <v>147</v>
      </c>
      <c r="E17" s="80"/>
      <c r="F17" s="80"/>
      <c r="G17" s="80"/>
      <c r="H17" s="79"/>
      <c r="I17" s="78" t="s">
        <v>146</v>
      </c>
      <c r="J17" s="79"/>
      <c r="K17" s="78" t="s">
        <v>148</v>
      </c>
      <c r="L17" s="80"/>
      <c r="M17" s="80"/>
      <c r="N17" s="81" t="s">
        <v>149</v>
      </c>
      <c r="O17" s="81"/>
      <c r="P17" s="81"/>
    </row>
    <row r="18" spans="2:16" x14ac:dyDescent="0.25">
      <c r="B18" s="56" t="s">
        <v>80</v>
      </c>
      <c r="C18" s="56"/>
      <c r="D18" s="56" t="s">
        <v>10</v>
      </c>
      <c r="E18" s="56"/>
      <c r="F18" s="82" t="s">
        <v>150</v>
      </c>
      <c r="G18" s="82"/>
      <c r="H18" s="82"/>
      <c r="I18" s="82"/>
      <c r="J18" s="82"/>
      <c r="K18" s="82"/>
      <c r="L18" s="82"/>
      <c r="M18" s="82"/>
      <c r="N18" s="82"/>
      <c r="O18" s="82"/>
      <c r="P18" s="82"/>
    </row>
    <row r="19" spans="2:16" x14ac:dyDescent="0.25">
      <c r="B19" s="56"/>
      <c r="C19" s="56"/>
      <c r="D19" s="56" t="s">
        <v>11</v>
      </c>
      <c r="E19" s="56"/>
      <c r="F19" s="82" t="s">
        <v>150</v>
      </c>
      <c r="G19" s="82"/>
      <c r="H19" s="82"/>
      <c r="I19" s="82"/>
      <c r="J19" s="82"/>
      <c r="K19" s="82"/>
      <c r="L19" s="82"/>
      <c r="M19" s="82"/>
      <c r="N19" s="82"/>
      <c r="O19" s="82"/>
      <c r="P19" s="82"/>
    </row>
    <row r="20" spans="2:16" x14ac:dyDescent="0.25">
      <c r="B20" s="56"/>
      <c r="C20" s="56"/>
      <c r="D20" s="30" t="s">
        <v>12</v>
      </c>
      <c r="E20" s="32"/>
      <c r="F20" s="82" t="s">
        <v>150</v>
      </c>
      <c r="G20" s="82"/>
      <c r="H20" s="82"/>
      <c r="I20" s="82"/>
      <c r="J20" s="82"/>
      <c r="K20" s="82"/>
      <c r="L20" s="82"/>
      <c r="M20" s="82"/>
      <c r="N20" s="82"/>
      <c r="O20" s="82"/>
      <c r="P20" s="82"/>
    </row>
    <row r="21" spans="2:16" x14ac:dyDescent="0.25">
      <c r="B21" s="56"/>
      <c r="C21" s="56"/>
      <c r="D21" s="60" t="s">
        <v>13</v>
      </c>
      <c r="E21" s="60"/>
      <c r="F21" s="82" t="s">
        <v>150</v>
      </c>
      <c r="G21" s="82"/>
      <c r="H21" s="82"/>
      <c r="I21" s="82"/>
      <c r="J21" s="82"/>
      <c r="K21" s="82"/>
      <c r="L21" s="82"/>
      <c r="M21" s="82"/>
      <c r="N21" s="82"/>
      <c r="O21" s="82"/>
      <c r="P21" s="82"/>
    </row>
    <row r="22" spans="2:16" x14ac:dyDescent="0.25">
      <c r="B22" s="56"/>
      <c r="C22" s="56"/>
      <c r="D22" s="60" t="s">
        <v>14</v>
      </c>
      <c r="E22" s="60"/>
      <c r="F22" s="82" t="s">
        <v>150</v>
      </c>
      <c r="G22" s="82"/>
      <c r="H22" s="82"/>
      <c r="I22" s="82"/>
      <c r="J22" s="82"/>
      <c r="K22" s="82"/>
      <c r="L22" s="82"/>
      <c r="M22" s="82"/>
      <c r="N22" s="82"/>
      <c r="O22" s="82"/>
      <c r="P22" s="82"/>
    </row>
    <row r="23" spans="2:16" x14ac:dyDescent="0.25">
      <c r="B23" s="64" t="s">
        <v>63</v>
      </c>
      <c r="C23" s="64"/>
      <c r="D23" s="64"/>
      <c r="E23" s="64"/>
      <c r="F23" s="64"/>
      <c r="G23" s="64"/>
      <c r="H23" s="64"/>
      <c r="I23" s="64"/>
      <c r="J23" s="64"/>
      <c r="K23" s="64"/>
      <c r="L23" s="64"/>
      <c r="M23" s="64"/>
      <c r="N23" s="64"/>
      <c r="O23" s="64"/>
      <c r="P23" s="64"/>
    </row>
    <row r="24" spans="2:16" s="14" customFormat="1" ht="63" x14ac:dyDescent="0.25">
      <c r="B24" s="13" t="s">
        <v>0</v>
      </c>
      <c r="C24" s="13" t="s">
        <v>64</v>
      </c>
      <c r="D24" s="13" t="s">
        <v>65</v>
      </c>
      <c r="E24" s="13" t="s">
        <v>66</v>
      </c>
      <c r="F24" s="13" t="s">
        <v>67</v>
      </c>
      <c r="G24" s="13" t="s">
        <v>73</v>
      </c>
      <c r="H24" s="13" t="s">
        <v>72</v>
      </c>
      <c r="I24" s="13" t="s">
        <v>74</v>
      </c>
      <c r="J24" s="13" t="s">
        <v>75</v>
      </c>
      <c r="K24" s="83" t="s">
        <v>76</v>
      </c>
      <c r="L24" s="83" t="s">
        <v>77</v>
      </c>
      <c r="M24" s="83" t="s">
        <v>78</v>
      </c>
      <c r="N24" s="13" t="s">
        <v>151</v>
      </c>
      <c r="O24" s="13" t="s">
        <v>138</v>
      </c>
      <c r="P24" s="13" t="s">
        <v>1</v>
      </c>
    </row>
    <row r="25" spans="2:16" s="14" customFormat="1" ht="63" x14ac:dyDescent="0.25">
      <c r="B25" s="23">
        <v>1</v>
      </c>
      <c r="C25" s="24" t="s">
        <v>136</v>
      </c>
      <c r="D25" s="83" t="s">
        <v>155</v>
      </c>
      <c r="E25" s="83" t="s">
        <v>155</v>
      </c>
      <c r="F25" s="94">
        <v>0</v>
      </c>
      <c r="G25" s="23" t="s">
        <v>86</v>
      </c>
      <c r="H25" s="23" t="s">
        <v>86</v>
      </c>
      <c r="I25" s="23" t="s">
        <v>86</v>
      </c>
      <c r="J25" s="23" t="s">
        <v>86</v>
      </c>
      <c r="K25" s="84" t="s">
        <v>86</v>
      </c>
      <c r="L25" s="84" t="s">
        <v>86</v>
      </c>
      <c r="M25" s="84" t="s">
        <v>86</v>
      </c>
      <c r="N25" s="20" t="s">
        <v>139</v>
      </c>
      <c r="O25" s="20"/>
      <c r="P25" s="24" t="s">
        <v>140</v>
      </c>
    </row>
    <row r="26" spans="2:16" s="14" customFormat="1" ht="31.5" x14ac:dyDescent="0.25">
      <c r="B26" s="23">
        <v>2</v>
      </c>
      <c r="C26" s="24" t="s">
        <v>137</v>
      </c>
      <c r="D26" s="83" t="s">
        <v>155</v>
      </c>
      <c r="E26" s="83" t="s">
        <v>155</v>
      </c>
      <c r="F26" s="94">
        <v>0</v>
      </c>
      <c r="G26" s="23" t="s">
        <v>86</v>
      </c>
      <c r="H26" s="23" t="s">
        <v>86</v>
      </c>
      <c r="I26" s="23" t="s">
        <v>86</v>
      </c>
      <c r="J26" s="23" t="s">
        <v>86</v>
      </c>
      <c r="K26" s="84" t="s">
        <v>86</v>
      </c>
      <c r="L26" s="84" t="s">
        <v>86</v>
      </c>
      <c r="M26" s="84" t="s">
        <v>86</v>
      </c>
      <c r="N26" s="23" t="s">
        <v>86</v>
      </c>
      <c r="O26" s="20" t="s">
        <v>139</v>
      </c>
      <c r="P26" s="26" t="s">
        <v>141</v>
      </c>
    </row>
    <row r="27" spans="2:16" ht="159" customHeight="1" x14ac:dyDescent="0.25">
      <c r="B27" s="23">
        <v>3</v>
      </c>
      <c r="C27" s="95" t="s">
        <v>88</v>
      </c>
      <c r="D27" s="29">
        <v>45952.333333333336</v>
      </c>
      <c r="E27" s="29">
        <v>45952.416666666664</v>
      </c>
      <c r="F27" s="25">
        <f>E27-D27</f>
        <v>8.3333333328482695E-2</v>
      </c>
      <c r="G27" s="23" t="s">
        <v>86</v>
      </c>
      <c r="H27" s="23" t="s">
        <v>86</v>
      </c>
      <c r="I27" s="23" t="s">
        <v>86</v>
      </c>
      <c r="J27" s="23" t="s">
        <v>86</v>
      </c>
      <c r="K27" s="84" t="s">
        <v>86</v>
      </c>
      <c r="L27" s="84" t="s">
        <v>86</v>
      </c>
      <c r="M27" s="84" t="s">
        <v>86</v>
      </c>
      <c r="N27" s="23" t="s">
        <v>86</v>
      </c>
      <c r="O27" s="20" t="s">
        <v>139</v>
      </c>
      <c r="P27" s="24" t="s">
        <v>110</v>
      </c>
    </row>
    <row r="28" spans="2:16" ht="126" x14ac:dyDescent="0.25">
      <c r="B28" s="23">
        <v>4</v>
      </c>
      <c r="C28" s="95" t="s">
        <v>89</v>
      </c>
      <c r="D28" s="29">
        <v>45958.510416666664</v>
      </c>
      <c r="E28" s="29">
        <v>45958.607986111114</v>
      </c>
      <c r="F28" s="25">
        <f>E28-D28</f>
        <v>9.7569444449618459E-2</v>
      </c>
      <c r="G28" s="23" t="s">
        <v>86</v>
      </c>
      <c r="H28" s="23" t="s">
        <v>86</v>
      </c>
      <c r="I28" s="23" t="s">
        <v>86</v>
      </c>
      <c r="J28" s="23" t="s">
        <v>86</v>
      </c>
      <c r="K28" s="84" t="s">
        <v>86</v>
      </c>
      <c r="L28" s="84" t="s">
        <v>86</v>
      </c>
      <c r="M28" s="84" t="s">
        <v>86</v>
      </c>
      <c r="N28" s="23" t="s">
        <v>86</v>
      </c>
      <c r="O28" s="20" t="s">
        <v>139</v>
      </c>
      <c r="P28" s="26" t="s">
        <v>111</v>
      </c>
    </row>
    <row r="29" spans="2:16" ht="110.25" x14ac:dyDescent="0.25">
      <c r="B29" s="23">
        <v>5</v>
      </c>
      <c r="C29" s="95" t="s">
        <v>90</v>
      </c>
      <c r="D29" s="29">
        <v>45966</v>
      </c>
      <c r="E29" s="29">
        <v>45966.681250000001</v>
      </c>
      <c r="F29" s="25">
        <f>E29-D29</f>
        <v>0.68125000000145519</v>
      </c>
      <c r="G29" s="23" t="s">
        <v>86</v>
      </c>
      <c r="H29" s="23" t="s">
        <v>86</v>
      </c>
      <c r="I29" s="23" t="s">
        <v>86</v>
      </c>
      <c r="J29" s="23" t="s">
        <v>86</v>
      </c>
      <c r="K29" s="84" t="s">
        <v>86</v>
      </c>
      <c r="L29" s="84" t="s">
        <v>86</v>
      </c>
      <c r="M29" s="84" t="s">
        <v>86</v>
      </c>
      <c r="N29" s="23" t="s">
        <v>86</v>
      </c>
      <c r="O29" s="20" t="s">
        <v>139</v>
      </c>
      <c r="P29" s="24" t="s">
        <v>112</v>
      </c>
    </row>
    <row r="30" spans="2:16" ht="94.5" x14ac:dyDescent="0.25">
      <c r="B30" s="23">
        <v>6</v>
      </c>
      <c r="C30" s="95" t="s">
        <v>91</v>
      </c>
      <c r="D30" s="29">
        <v>45966</v>
      </c>
      <c r="E30" s="29">
        <v>45966</v>
      </c>
      <c r="F30" s="25">
        <f t="shared" ref="F30:F47" si="0">E30-D30</f>
        <v>0</v>
      </c>
      <c r="G30" s="23" t="s">
        <v>86</v>
      </c>
      <c r="H30" s="23" t="s">
        <v>86</v>
      </c>
      <c r="I30" s="23" t="s">
        <v>86</v>
      </c>
      <c r="J30" s="23" t="s">
        <v>86</v>
      </c>
      <c r="K30" s="84" t="s">
        <v>86</v>
      </c>
      <c r="L30" s="84" t="s">
        <v>86</v>
      </c>
      <c r="M30" s="84" t="s">
        <v>86</v>
      </c>
      <c r="N30" s="23" t="s">
        <v>86</v>
      </c>
      <c r="O30" s="20" t="s">
        <v>139</v>
      </c>
      <c r="P30" s="24" t="s">
        <v>113</v>
      </c>
    </row>
    <row r="31" spans="2:16" ht="94.5" x14ac:dyDescent="0.25">
      <c r="B31" s="23">
        <v>7</v>
      </c>
      <c r="C31" s="95" t="s">
        <v>92</v>
      </c>
      <c r="D31" s="29">
        <v>45971</v>
      </c>
      <c r="E31" s="29">
        <v>45971.493750000001</v>
      </c>
      <c r="F31" s="25">
        <f t="shared" si="0"/>
        <v>0.49375000000145519</v>
      </c>
      <c r="G31" s="23" t="s">
        <v>86</v>
      </c>
      <c r="H31" s="23" t="s">
        <v>86</v>
      </c>
      <c r="I31" s="23" t="s">
        <v>86</v>
      </c>
      <c r="J31" s="23" t="s">
        <v>86</v>
      </c>
      <c r="K31" s="84" t="s">
        <v>86</v>
      </c>
      <c r="L31" s="84" t="s">
        <v>86</v>
      </c>
      <c r="M31" s="84" t="s">
        <v>86</v>
      </c>
      <c r="N31" s="23" t="s">
        <v>86</v>
      </c>
      <c r="O31" s="20" t="s">
        <v>139</v>
      </c>
      <c r="P31" s="26" t="s">
        <v>114</v>
      </c>
    </row>
    <row r="32" spans="2:16" ht="157.5" x14ac:dyDescent="0.25">
      <c r="B32" s="23">
        <v>8</v>
      </c>
      <c r="C32" s="95" t="s">
        <v>93</v>
      </c>
      <c r="D32" s="29">
        <v>45971.291666666664</v>
      </c>
      <c r="E32" s="29">
        <v>45971.416666666664</v>
      </c>
      <c r="F32" s="25">
        <f t="shared" si="0"/>
        <v>0.125</v>
      </c>
      <c r="G32" s="23" t="s">
        <v>86</v>
      </c>
      <c r="H32" s="23" t="s">
        <v>86</v>
      </c>
      <c r="I32" s="23" t="s">
        <v>86</v>
      </c>
      <c r="J32" s="23" t="s">
        <v>86</v>
      </c>
      <c r="K32" s="84" t="s">
        <v>86</v>
      </c>
      <c r="L32" s="84" t="s">
        <v>86</v>
      </c>
      <c r="M32" s="84" t="s">
        <v>86</v>
      </c>
      <c r="N32" s="23" t="s">
        <v>86</v>
      </c>
      <c r="O32" s="20" t="s">
        <v>139</v>
      </c>
      <c r="P32" s="26" t="s">
        <v>115</v>
      </c>
    </row>
    <row r="33" spans="2:16" ht="110.25" x14ac:dyDescent="0.25">
      <c r="B33" s="23">
        <v>9</v>
      </c>
      <c r="C33" s="95" t="s">
        <v>94</v>
      </c>
      <c r="D33" s="29">
        <v>45972.375</v>
      </c>
      <c r="E33" s="29">
        <v>45972.479166666664</v>
      </c>
      <c r="F33" s="25">
        <f t="shared" si="0"/>
        <v>0.10416666666424135</v>
      </c>
      <c r="G33" s="23" t="s">
        <v>86</v>
      </c>
      <c r="H33" s="23" t="s">
        <v>86</v>
      </c>
      <c r="I33" s="23" t="s">
        <v>86</v>
      </c>
      <c r="J33" s="23" t="s">
        <v>86</v>
      </c>
      <c r="K33" s="84" t="s">
        <v>86</v>
      </c>
      <c r="L33" s="84" t="s">
        <v>86</v>
      </c>
      <c r="M33" s="84" t="s">
        <v>86</v>
      </c>
      <c r="N33" s="23" t="s">
        <v>86</v>
      </c>
      <c r="O33" s="20" t="s">
        <v>139</v>
      </c>
      <c r="P33" s="26" t="s">
        <v>116</v>
      </c>
    </row>
    <row r="34" spans="2:16" ht="126" x14ac:dyDescent="0.25">
      <c r="B34" s="23">
        <v>10</v>
      </c>
      <c r="C34" s="95" t="s">
        <v>95</v>
      </c>
      <c r="D34" s="29">
        <v>45973.510416666664</v>
      </c>
      <c r="E34" s="29">
        <v>45973.70208333333</v>
      </c>
      <c r="F34" s="25">
        <f t="shared" si="0"/>
        <v>0.19166666666569654</v>
      </c>
      <c r="G34" s="23" t="s">
        <v>86</v>
      </c>
      <c r="H34" s="23" t="s">
        <v>86</v>
      </c>
      <c r="I34" s="23" t="s">
        <v>86</v>
      </c>
      <c r="J34" s="23" t="s">
        <v>86</v>
      </c>
      <c r="K34" s="84" t="s">
        <v>86</v>
      </c>
      <c r="L34" s="84" t="s">
        <v>86</v>
      </c>
      <c r="M34" s="84" t="s">
        <v>86</v>
      </c>
      <c r="N34" s="23" t="s">
        <v>86</v>
      </c>
      <c r="O34" s="20" t="s">
        <v>139</v>
      </c>
      <c r="P34" s="26" t="s">
        <v>117</v>
      </c>
    </row>
    <row r="35" spans="2:16" ht="126" x14ac:dyDescent="0.25">
      <c r="B35" s="23">
        <v>11</v>
      </c>
      <c r="C35" s="95" t="s">
        <v>96</v>
      </c>
      <c r="D35" s="29">
        <v>45974</v>
      </c>
      <c r="E35" s="29">
        <v>45974</v>
      </c>
      <c r="F35" s="25">
        <f t="shared" si="0"/>
        <v>0</v>
      </c>
      <c r="G35" s="23" t="s">
        <v>86</v>
      </c>
      <c r="H35" s="23" t="s">
        <v>86</v>
      </c>
      <c r="I35" s="23" t="s">
        <v>86</v>
      </c>
      <c r="J35" s="23" t="s">
        <v>86</v>
      </c>
      <c r="K35" s="84" t="s">
        <v>86</v>
      </c>
      <c r="L35" s="84" t="s">
        <v>86</v>
      </c>
      <c r="M35" s="84" t="s">
        <v>86</v>
      </c>
      <c r="N35" s="23" t="s">
        <v>86</v>
      </c>
      <c r="O35" s="20" t="s">
        <v>139</v>
      </c>
      <c r="P35" s="24" t="s">
        <v>118</v>
      </c>
    </row>
    <row r="36" spans="2:16" ht="141.75" x14ac:dyDescent="0.25">
      <c r="B36" s="23">
        <v>12</v>
      </c>
      <c r="C36" s="95" t="s">
        <v>97</v>
      </c>
      <c r="D36" s="29">
        <v>45975</v>
      </c>
      <c r="E36" s="29">
        <v>45975</v>
      </c>
      <c r="F36" s="25">
        <f t="shared" si="0"/>
        <v>0</v>
      </c>
      <c r="G36" s="23" t="s">
        <v>86</v>
      </c>
      <c r="H36" s="23" t="s">
        <v>86</v>
      </c>
      <c r="I36" s="23" t="s">
        <v>86</v>
      </c>
      <c r="J36" s="23" t="s">
        <v>86</v>
      </c>
      <c r="K36" s="84" t="s">
        <v>86</v>
      </c>
      <c r="L36" s="84" t="s">
        <v>86</v>
      </c>
      <c r="M36" s="84" t="s">
        <v>86</v>
      </c>
      <c r="N36" s="23" t="s">
        <v>86</v>
      </c>
      <c r="O36" s="20" t="s">
        <v>139</v>
      </c>
      <c r="P36" s="26" t="s">
        <v>119</v>
      </c>
    </row>
    <row r="37" spans="2:16" ht="110.25" x14ac:dyDescent="0.25">
      <c r="B37" s="23">
        <v>13</v>
      </c>
      <c r="C37" s="95" t="s">
        <v>98</v>
      </c>
      <c r="D37" s="29">
        <v>45980</v>
      </c>
      <c r="E37" s="29">
        <v>45980</v>
      </c>
      <c r="F37" s="25">
        <f t="shared" si="0"/>
        <v>0</v>
      </c>
      <c r="G37" s="23" t="s">
        <v>86</v>
      </c>
      <c r="H37" s="23" t="s">
        <v>86</v>
      </c>
      <c r="I37" s="23" t="s">
        <v>86</v>
      </c>
      <c r="J37" s="23" t="s">
        <v>86</v>
      </c>
      <c r="K37" s="84" t="s">
        <v>86</v>
      </c>
      <c r="L37" s="84" t="s">
        <v>86</v>
      </c>
      <c r="M37" s="84" t="s">
        <v>86</v>
      </c>
      <c r="N37" s="23" t="s">
        <v>86</v>
      </c>
      <c r="O37" s="20" t="s">
        <v>139</v>
      </c>
      <c r="P37" s="26" t="s">
        <v>120</v>
      </c>
    </row>
    <row r="38" spans="2:16" ht="110.25" x14ac:dyDescent="0.25">
      <c r="B38" s="23">
        <v>14</v>
      </c>
      <c r="C38" s="95" t="s">
        <v>99</v>
      </c>
      <c r="D38" s="29">
        <v>45980</v>
      </c>
      <c r="E38" s="29">
        <v>45980</v>
      </c>
      <c r="F38" s="25">
        <f t="shared" si="0"/>
        <v>0</v>
      </c>
      <c r="G38" s="23" t="s">
        <v>86</v>
      </c>
      <c r="H38" s="23" t="s">
        <v>86</v>
      </c>
      <c r="I38" s="23" t="s">
        <v>86</v>
      </c>
      <c r="J38" s="23" t="s">
        <v>86</v>
      </c>
      <c r="K38" s="84" t="s">
        <v>86</v>
      </c>
      <c r="L38" s="84" t="s">
        <v>86</v>
      </c>
      <c r="M38" s="84" t="s">
        <v>86</v>
      </c>
      <c r="N38" s="23" t="s">
        <v>86</v>
      </c>
      <c r="O38" s="20" t="s">
        <v>139</v>
      </c>
      <c r="P38" s="26" t="s">
        <v>121</v>
      </c>
    </row>
    <row r="39" spans="2:16" ht="110.25" x14ac:dyDescent="0.25">
      <c r="B39" s="23">
        <v>15</v>
      </c>
      <c r="C39" s="95" t="s">
        <v>100</v>
      </c>
      <c r="D39" s="29">
        <v>45982</v>
      </c>
      <c r="E39" s="29">
        <v>45982</v>
      </c>
      <c r="F39" s="25">
        <f t="shared" si="0"/>
        <v>0</v>
      </c>
      <c r="G39" s="23" t="s">
        <v>86</v>
      </c>
      <c r="H39" s="23" t="s">
        <v>86</v>
      </c>
      <c r="I39" s="23" t="s">
        <v>86</v>
      </c>
      <c r="J39" s="23" t="s">
        <v>86</v>
      </c>
      <c r="K39" s="84" t="s">
        <v>86</v>
      </c>
      <c r="L39" s="84" t="s">
        <v>86</v>
      </c>
      <c r="M39" s="84" t="s">
        <v>86</v>
      </c>
      <c r="N39" s="23" t="s">
        <v>86</v>
      </c>
      <c r="O39" s="20" t="s">
        <v>139</v>
      </c>
      <c r="P39" s="24" t="s">
        <v>122</v>
      </c>
    </row>
    <row r="40" spans="2:16" ht="110.25" x14ac:dyDescent="0.25">
      <c r="B40" s="23">
        <v>16</v>
      </c>
      <c r="C40" s="95" t="s">
        <v>101</v>
      </c>
      <c r="D40" s="29">
        <v>45982</v>
      </c>
      <c r="E40" s="29">
        <v>45982</v>
      </c>
      <c r="F40" s="25">
        <f t="shared" si="0"/>
        <v>0</v>
      </c>
      <c r="G40" s="23" t="s">
        <v>86</v>
      </c>
      <c r="H40" s="23" t="s">
        <v>86</v>
      </c>
      <c r="I40" s="23" t="s">
        <v>86</v>
      </c>
      <c r="J40" s="23" t="s">
        <v>86</v>
      </c>
      <c r="K40" s="84" t="s">
        <v>86</v>
      </c>
      <c r="L40" s="84" t="s">
        <v>86</v>
      </c>
      <c r="M40" s="84" t="s">
        <v>86</v>
      </c>
      <c r="N40" s="23" t="s">
        <v>86</v>
      </c>
      <c r="O40" s="20" t="s">
        <v>139</v>
      </c>
      <c r="P40" s="26" t="s">
        <v>123</v>
      </c>
    </row>
    <row r="41" spans="2:16" ht="110.25" x14ac:dyDescent="0.25">
      <c r="B41" s="23">
        <v>17</v>
      </c>
      <c r="C41" s="95" t="s">
        <v>102</v>
      </c>
      <c r="D41" s="29">
        <v>45985</v>
      </c>
      <c r="E41" s="29">
        <v>45985</v>
      </c>
      <c r="F41" s="25">
        <f t="shared" si="0"/>
        <v>0</v>
      </c>
      <c r="G41" s="23" t="s">
        <v>86</v>
      </c>
      <c r="H41" s="23" t="s">
        <v>86</v>
      </c>
      <c r="I41" s="23" t="s">
        <v>86</v>
      </c>
      <c r="J41" s="23" t="s">
        <v>86</v>
      </c>
      <c r="K41" s="84" t="s">
        <v>86</v>
      </c>
      <c r="L41" s="84" t="s">
        <v>86</v>
      </c>
      <c r="M41" s="84" t="s">
        <v>86</v>
      </c>
      <c r="N41" s="23" t="s">
        <v>86</v>
      </c>
      <c r="O41" s="20" t="s">
        <v>139</v>
      </c>
      <c r="P41" s="26" t="s">
        <v>124</v>
      </c>
    </row>
    <row r="42" spans="2:16" ht="94.5" x14ac:dyDescent="0.25">
      <c r="B42" s="23">
        <v>18</v>
      </c>
      <c r="C42" s="95" t="s">
        <v>103</v>
      </c>
      <c r="D42" s="29">
        <v>45985</v>
      </c>
      <c r="E42" s="29">
        <v>45985</v>
      </c>
      <c r="F42" s="25">
        <f t="shared" si="0"/>
        <v>0</v>
      </c>
      <c r="G42" s="23" t="s">
        <v>86</v>
      </c>
      <c r="H42" s="23" t="s">
        <v>86</v>
      </c>
      <c r="I42" s="23" t="s">
        <v>86</v>
      </c>
      <c r="J42" s="23" t="s">
        <v>86</v>
      </c>
      <c r="K42" s="84" t="s">
        <v>86</v>
      </c>
      <c r="L42" s="84" t="s">
        <v>86</v>
      </c>
      <c r="M42" s="84" t="s">
        <v>86</v>
      </c>
      <c r="N42" s="23" t="s">
        <v>86</v>
      </c>
      <c r="O42" s="20" t="s">
        <v>139</v>
      </c>
      <c r="P42" s="26" t="s">
        <v>125</v>
      </c>
    </row>
    <row r="43" spans="2:16" ht="94.5" x14ac:dyDescent="0.25">
      <c r="B43" s="23">
        <v>19</v>
      </c>
      <c r="C43" s="95" t="s">
        <v>104</v>
      </c>
      <c r="D43" s="29">
        <v>45918.3125</v>
      </c>
      <c r="E43" s="29">
        <v>45918.458333333336</v>
      </c>
      <c r="F43" s="25">
        <f t="shared" si="0"/>
        <v>0.14583333333575865</v>
      </c>
      <c r="G43" s="23" t="s">
        <v>86</v>
      </c>
      <c r="H43" s="23" t="s">
        <v>86</v>
      </c>
      <c r="I43" s="23" t="s">
        <v>86</v>
      </c>
      <c r="J43" s="23" t="s">
        <v>86</v>
      </c>
      <c r="K43" s="84" t="s">
        <v>86</v>
      </c>
      <c r="L43" s="84" t="s">
        <v>86</v>
      </c>
      <c r="M43" s="84" t="s">
        <v>86</v>
      </c>
      <c r="N43" s="23" t="s">
        <v>86</v>
      </c>
      <c r="O43" s="20" t="s">
        <v>139</v>
      </c>
      <c r="P43" s="26" t="s">
        <v>126</v>
      </c>
    </row>
    <row r="44" spans="2:16" ht="141.75" x14ac:dyDescent="0.25">
      <c r="B44" s="23">
        <v>20</v>
      </c>
      <c r="C44" s="95" t="s">
        <v>105</v>
      </c>
      <c r="D44" s="29">
        <v>45919</v>
      </c>
      <c r="E44" s="29">
        <v>45919</v>
      </c>
      <c r="F44" s="25">
        <f t="shared" si="0"/>
        <v>0</v>
      </c>
      <c r="G44" s="23" t="s">
        <v>86</v>
      </c>
      <c r="H44" s="23" t="s">
        <v>86</v>
      </c>
      <c r="I44" s="23" t="s">
        <v>86</v>
      </c>
      <c r="J44" s="23" t="s">
        <v>86</v>
      </c>
      <c r="K44" s="84" t="s">
        <v>86</v>
      </c>
      <c r="L44" s="84" t="s">
        <v>86</v>
      </c>
      <c r="M44" s="84" t="s">
        <v>86</v>
      </c>
      <c r="N44" s="23" t="s">
        <v>86</v>
      </c>
      <c r="O44" s="20" t="s">
        <v>139</v>
      </c>
      <c r="P44" s="26" t="s">
        <v>127</v>
      </c>
    </row>
    <row r="45" spans="2:16" ht="94.5" x14ac:dyDescent="0.25">
      <c r="B45" s="23">
        <v>21</v>
      </c>
      <c r="C45" s="95" t="s">
        <v>106</v>
      </c>
      <c r="D45" s="29">
        <v>45919.375</v>
      </c>
      <c r="E45" s="29">
        <v>45919.458333333336</v>
      </c>
      <c r="F45" s="25">
        <f t="shared" si="0"/>
        <v>8.3333333335758653E-2</v>
      </c>
      <c r="G45" s="23" t="s">
        <v>86</v>
      </c>
      <c r="H45" s="23" t="s">
        <v>86</v>
      </c>
      <c r="I45" s="23" t="s">
        <v>86</v>
      </c>
      <c r="J45" s="23" t="s">
        <v>86</v>
      </c>
      <c r="K45" s="84" t="s">
        <v>86</v>
      </c>
      <c r="L45" s="84" t="s">
        <v>86</v>
      </c>
      <c r="M45" s="84" t="s">
        <v>86</v>
      </c>
      <c r="N45" s="23" t="s">
        <v>86</v>
      </c>
      <c r="O45" s="20" t="s">
        <v>139</v>
      </c>
      <c r="P45" s="26" t="s">
        <v>128</v>
      </c>
    </row>
    <row r="46" spans="2:16" ht="94.5" x14ac:dyDescent="0.25">
      <c r="B46" s="23">
        <v>22</v>
      </c>
      <c r="C46" s="95" t="s">
        <v>107</v>
      </c>
      <c r="D46" s="29">
        <v>45922</v>
      </c>
      <c r="E46" s="29">
        <v>45922</v>
      </c>
      <c r="F46" s="25">
        <f t="shared" si="0"/>
        <v>0</v>
      </c>
      <c r="G46" s="23" t="s">
        <v>86</v>
      </c>
      <c r="H46" s="23" t="s">
        <v>86</v>
      </c>
      <c r="I46" s="23" t="s">
        <v>86</v>
      </c>
      <c r="J46" s="23" t="s">
        <v>86</v>
      </c>
      <c r="K46" s="84" t="s">
        <v>86</v>
      </c>
      <c r="L46" s="84" t="s">
        <v>86</v>
      </c>
      <c r="M46" s="84" t="s">
        <v>86</v>
      </c>
      <c r="N46" s="23" t="s">
        <v>86</v>
      </c>
      <c r="O46" s="20" t="s">
        <v>139</v>
      </c>
      <c r="P46" s="26" t="s">
        <v>129</v>
      </c>
    </row>
    <row r="47" spans="2:16" ht="113.25" customHeight="1" x14ac:dyDescent="0.25">
      <c r="B47" s="23">
        <v>23</v>
      </c>
      <c r="C47" s="95" t="s">
        <v>108</v>
      </c>
      <c r="D47" s="29">
        <v>45923</v>
      </c>
      <c r="E47" s="29">
        <v>45923</v>
      </c>
      <c r="F47" s="25">
        <f t="shared" si="0"/>
        <v>0</v>
      </c>
      <c r="G47" s="23" t="s">
        <v>86</v>
      </c>
      <c r="H47" s="23" t="s">
        <v>86</v>
      </c>
      <c r="I47" s="23" t="s">
        <v>86</v>
      </c>
      <c r="J47" s="23" t="s">
        <v>86</v>
      </c>
      <c r="K47" s="84" t="s">
        <v>86</v>
      </c>
      <c r="L47" s="84" t="s">
        <v>86</v>
      </c>
      <c r="M47" s="84" t="s">
        <v>86</v>
      </c>
      <c r="N47" s="23" t="s">
        <v>86</v>
      </c>
      <c r="O47" s="20" t="s">
        <v>139</v>
      </c>
      <c r="P47" s="26" t="s">
        <v>130</v>
      </c>
    </row>
    <row r="48" spans="2:16" ht="140.25" customHeight="1" x14ac:dyDescent="0.25">
      <c r="B48" s="23">
        <v>24</v>
      </c>
      <c r="C48" s="95" t="s">
        <v>109</v>
      </c>
      <c r="D48" s="29">
        <v>45923.416666666664</v>
      </c>
      <c r="E48" s="29">
        <v>45923.607986111114</v>
      </c>
      <c r="F48" s="25">
        <f>E48-D48</f>
        <v>0.19131944444961846</v>
      </c>
      <c r="G48" s="23" t="s">
        <v>86</v>
      </c>
      <c r="H48" s="23" t="s">
        <v>86</v>
      </c>
      <c r="I48" s="23" t="s">
        <v>86</v>
      </c>
      <c r="J48" s="23" t="s">
        <v>86</v>
      </c>
      <c r="K48" s="84" t="s">
        <v>86</v>
      </c>
      <c r="L48" s="84" t="s">
        <v>86</v>
      </c>
      <c r="M48" s="84" t="s">
        <v>86</v>
      </c>
      <c r="N48" s="23" t="s">
        <v>86</v>
      </c>
      <c r="O48" s="20" t="s">
        <v>139</v>
      </c>
      <c r="P48" s="26" t="s">
        <v>131</v>
      </c>
    </row>
    <row r="49" spans="2:16" x14ac:dyDescent="0.25">
      <c r="B49" s="23">
        <v>25</v>
      </c>
      <c r="C49" s="24" t="s">
        <v>142</v>
      </c>
      <c r="D49" s="29">
        <v>46006.416666666664</v>
      </c>
      <c r="E49" s="29">
        <v>46006.437847222223</v>
      </c>
      <c r="F49" s="25">
        <f>E49-D49</f>
        <v>2.118055555911269E-2</v>
      </c>
      <c r="G49" s="85"/>
      <c r="H49" s="85"/>
      <c r="I49" s="86"/>
      <c r="J49" s="85"/>
      <c r="K49" s="85"/>
      <c r="L49" s="85"/>
      <c r="M49" s="85"/>
      <c r="N49" s="85"/>
      <c r="O49" s="85"/>
      <c r="P49" s="87"/>
    </row>
    <row r="50" spans="2:16" ht="20.100000000000001" customHeight="1" x14ac:dyDescent="0.25">
      <c r="B50" s="65" t="s">
        <v>15</v>
      </c>
      <c r="C50" s="66"/>
      <c r="D50" s="66"/>
      <c r="E50" s="67"/>
      <c r="F50" s="19">
        <f>SUM(F27:F49)</f>
        <v>2.2184027777911979</v>
      </c>
      <c r="G50" s="18"/>
    </row>
    <row r="51" spans="2:16" ht="25.5" customHeight="1" x14ac:dyDescent="0.25">
      <c r="B51" s="88" t="s">
        <v>152</v>
      </c>
      <c r="C51" s="88"/>
      <c r="D51" s="88"/>
      <c r="E51" s="88"/>
      <c r="F51" s="88"/>
      <c r="G51" s="88"/>
      <c r="H51" s="88"/>
      <c r="I51" s="88"/>
      <c r="J51" s="88"/>
      <c r="K51" s="88"/>
      <c r="L51" s="88"/>
      <c r="M51" s="88"/>
      <c r="N51" s="88"/>
      <c r="O51" s="88"/>
      <c r="P51" s="88"/>
    </row>
    <row r="52" spans="2:16" ht="22.5" customHeight="1" x14ac:dyDescent="0.25">
      <c r="B52" s="88"/>
      <c r="C52" s="88"/>
      <c r="D52" s="88"/>
      <c r="E52" s="88"/>
      <c r="F52" s="88"/>
      <c r="G52" s="88"/>
      <c r="H52" s="88"/>
      <c r="I52" s="88"/>
      <c r="J52" s="88"/>
      <c r="K52" s="88"/>
      <c r="L52" s="88"/>
      <c r="M52" s="88"/>
      <c r="N52" s="88"/>
      <c r="O52" s="88"/>
      <c r="P52" s="88"/>
    </row>
    <row r="53" spans="2:16" x14ac:dyDescent="0.25">
      <c r="B53" s="15"/>
      <c r="C53" s="15"/>
      <c r="D53" s="15"/>
      <c r="E53" s="15"/>
      <c r="F53" s="15"/>
      <c r="G53" s="15"/>
      <c r="H53" s="15"/>
      <c r="I53" s="15"/>
      <c r="J53" s="15"/>
      <c r="K53" s="15"/>
      <c r="L53" s="15"/>
      <c r="M53" s="15"/>
      <c r="N53" s="15"/>
      <c r="O53" s="15"/>
      <c r="P53" s="15"/>
    </row>
    <row r="54" spans="2:16" x14ac:dyDescent="0.25">
      <c r="B54" s="69" t="s">
        <v>16</v>
      </c>
      <c r="C54" s="69"/>
    </row>
    <row r="55" spans="2:16" ht="43.5" customHeight="1" x14ac:dyDescent="0.25">
      <c r="B55" s="70" t="s">
        <v>17</v>
      </c>
      <c r="C55" s="70"/>
      <c r="D55" s="13" t="s">
        <v>19</v>
      </c>
    </row>
    <row r="56" spans="2:16" ht="20.100000000000001" customHeight="1" x14ac:dyDescent="0.25">
      <c r="B56" s="71" t="s">
        <v>86</v>
      </c>
      <c r="C56" s="71"/>
      <c r="D56" s="16">
        <v>0</v>
      </c>
    </row>
    <row r="57" spans="2:16" ht="20.100000000000001" customHeight="1" x14ac:dyDescent="0.25">
      <c r="B57" s="68" t="s">
        <v>18</v>
      </c>
      <c r="C57" s="68"/>
      <c r="D57" s="17">
        <f>SUM(D56:D56)</f>
        <v>0</v>
      </c>
    </row>
    <row r="59" spans="2:16" x14ac:dyDescent="0.25">
      <c r="B59" s="72"/>
      <c r="C59" s="72"/>
    </row>
  </sheetData>
  <mergeCells count="54">
    <mergeCell ref="B57:C57"/>
    <mergeCell ref="B54:C54"/>
    <mergeCell ref="B55:C55"/>
    <mergeCell ref="B56:C56"/>
    <mergeCell ref="B59:C59"/>
    <mergeCell ref="B51:P52"/>
    <mergeCell ref="B13:C13"/>
    <mergeCell ref="B23:P23"/>
    <mergeCell ref="B18:C22"/>
    <mergeCell ref="B17:C17"/>
    <mergeCell ref="B16:C16"/>
    <mergeCell ref="B14:C14"/>
    <mergeCell ref="F21:P21"/>
    <mergeCell ref="D22:E22"/>
    <mergeCell ref="B15:C15"/>
    <mergeCell ref="F22:P22"/>
    <mergeCell ref="F19:P19"/>
    <mergeCell ref="B50:E50"/>
    <mergeCell ref="D20:E20"/>
    <mergeCell ref="D17:H17"/>
    <mergeCell ref="I17:J17"/>
    <mergeCell ref="D21:E21"/>
    <mergeCell ref="B12:C12"/>
    <mergeCell ref="D13:P13"/>
    <mergeCell ref="D16:P16"/>
    <mergeCell ref="D10:P10"/>
    <mergeCell ref="D14:P14"/>
    <mergeCell ref="D15:P15"/>
    <mergeCell ref="F20:P20"/>
    <mergeCell ref="F18:P18"/>
    <mergeCell ref="D18:E18"/>
    <mergeCell ref="D19:E19"/>
    <mergeCell ref="N17:P17"/>
    <mergeCell ref="K17:M17"/>
    <mergeCell ref="D8:P8"/>
    <mergeCell ref="B6:C6"/>
    <mergeCell ref="B10:C10"/>
    <mergeCell ref="B9:C9"/>
    <mergeCell ref="D12:P12"/>
    <mergeCell ref="D9:P9"/>
    <mergeCell ref="B11:C11"/>
    <mergeCell ref="B8:C8"/>
    <mergeCell ref="B7:C7"/>
    <mergeCell ref="D6:P6"/>
    <mergeCell ref="D7:P7"/>
    <mergeCell ref="D11:P11"/>
    <mergeCell ref="L2:P2"/>
    <mergeCell ref="L3:P3"/>
    <mergeCell ref="L4:P4"/>
    <mergeCell ref="B2:K4"/>
    <mergeCell ref="J5:K5"/>
    <mergeCell ref="L5:P5"/>
    <mergeCell ref="D5:I5"/>
    <mergeCell ref="B5:C5"/>
  </mergeCells>
  <conditionalFormatting sqref="D15:P15">
    <cfRule type="containsText" dxfId="5" priority="1" operator="containsText" text="Bajo">
      <formula>NOT(ISERROR(SEARCH("Bajo",D15)))</formula>
    </cfRule>
    <cfRule type="containsText" dxfId="4" priority="2" operator="containsText" text="Medio">
      <formula>NOT(ISERROR(SEARCH("Medio",D15)))</formula>
    </cfRule>
    <cfRule type="containsText" dxfId="3" priority="3" operator="containsText" text="Alto">
      <formula>NOT(ISERROR(SEARCH("Alto",D15)))</formula>
    </cfRule>
  </conditionalFormatting>
  <dataValidations count="1">
    <dataValidation type="list" allowBlank="1" showInputMessage="1" showErrorMessage="1" sqref="D6:P6" xr:uid="{00000000-0002-0000-0000-000000000000}">
      <formula1>$V$4:$V$7</formula1>
    </dataValidation>
  </dataValidations>
  <pageMargins left="0" right="0" top="0.15748031496062992" bottom="0.15748031496062992" header="0.31496062992125984" footer="0.31496062992125984"/>
  <pageSetup scale="48"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Q26"/>
  <sheetViews>
    <sheetView showGridLines="0" zoomScale="70" zoomScaleNormal="70" workbookViewId="0">
      <selection activeCell="S28" sqref="S28"/>
    </sheetView>
  </sheetViews>
  <sheetFormatPr baseColWidth="10" defaultRowHeight="15.75" x14ac:dyDescent="0.25"/>
  <cols>
    <col min="1" max="1" width="2.42578125" style="1" customWidth="1"/>
    <col min="2" max="2" width="34.28515625" style="1" bestFit="1" customWidth="1"/>
    <col min="3" max="3" width="15.42578125" style="1" customWidth="1"/>
    <col min="4" max="4" width="13.7109375" style="1" customWidth="1"/>
    <col min="5" max="5" width="20.5703125" style="1" customWidth="1"/>
    <col min="6" max="6" width="9" style="1" hidden="1" customWidth="1"/>
    <col min="7" max="7" width="20.7109375" style="1" hidden="1" customWidth="1"/>
    <col min="8" max="8" width="24.85546875" style="1" hidden="1" customWidth="1"/>
    <col min="9" max="15" width="20.7109375" style="1" hidden="1" customWidth="1"/>
    <col min="16" max="16" width="18.140625" style="1" hidden="1" customWidth="1"/>
    <col min="17" max="17" width="2.5703125" style="1" hidden="1" customWidth="1"/>
    <col min="18" max="18" width="11.42578125" style="1" customWidth="1"/>
    <col min="19" max="257" width="11.42578125" style="1"/>
    <col min="258" max="258" width="14.85546875" style="1" bestFit="1" customWidth="1"/>
    <col min="259" max="259" width="12.140625" style="1" bestFit="1" customWidth="1"/>
    <col min="260" max="260" width="22.5703125" style="1" customWidth="1"/>
    <col min="261" max="261" width="23" style="1" customWidth="1"/>
    <col min="262" max="262" width="0" style="1" hidden="1" customWidth="1"/>
    <col min="263" max="271" width="20.7109375" style="1" customWidth="1"/>
    <col min="272" max="273" width="0" style="1" hidden="1" customWidth="1"/>
    <col min="274" max="513" width="11.42578125" style="1"/>
    <col min="514" max="514" width="14.85546875" style="1" bestFit="1" customWidth="1"/>
    <col min="515" max="515" width="12.140625" style="1" bestFit="1" customWidth="1"/>
    <col min="516" max="516" width="22.5703125" style="1" customWidth="1"/>
    <col min="517" max="517" width="23" style="1" customWidth="1"/>
    <col min="518" max="518" width="0" style="1" hidden="1" customWidth="1"/>
    <col min="519" max="527" width="20.7109375" style="1" customWidth="1"/>
    <col min="528" max="529" width="0" style="1" hidden="1" customWidth="1"/>
    <col min="530" max="769" width="11.42578125" style="1"/>
    <col min="770" max="770" width="14.85546875" style="1" bestFit="1" customWidth="1"/>
    <col min="771" max="771" width="12.140625" style="1" bestFit="1" customWidth="1"/>
    <col min="772" max="772" width="22.5703125" style="1" customWidth="1"/>
    <col min="773" max="773" width="23" style="1" customWidth="1"/>
    <col min="774" max="774" width="0" style="1" hidden="1" customWidth="1"/>
    <col min="775" max="783" width="20.7109375" style="1" customWidth="1"/>
    <col min="784" max="785" width="0" style="1" hidden="1" customWidth="1"/>
    <col min="786" max="1025" width="11.42578125" style="1"/>
    <col min="1026" max="1026" width="14.85546875" style="1" bestFit="1" customWidth="1"/>
    <col min="1027" max="1027" width="12.140625" style="1" bestFit="1" customWidth="1"/>
    <col min="1028" max="1028" width="22.5703125" style="1" customWidth="1"/>
    <col min="1029" max="1029" width="23" style="1" customWidth="1"/>
    <col min="1030" max="1030" width="0" style="1" hidden="1" customWidth="1"/>
    <col min="1031" max="1039" width="20.7109375" style="1" customWidth="1"/>
    <col min="1040" max="1041" width="0" style="1" hidden="1" customWidth="1"/>
    <col min="1042" max="1281" width="11.42578125" style="1"/>
    <col min="1282" max="1282" width="14.85546875" style="1" bestFit="1" customWidth="1"/>
    <col min="1283" max="1283" width="12.140625" style="1" bestFit="1" customWidth="1"/>
    <col min="1284" max="1284" width="22.5703125" style="1" customWidth="1"/>
    <col min="1285" max="1285" width="23" style="1" customWidth="1"/>
    <col min="1286" max="1286" width="0" style="1" hidden="1" customWidth="1"/>
    <col min="1287" max="1295" width="20.7109375" style="1" customWidth="1"/>
    <col min="1296" max="1297" width="0" style="1" hidden="1" customWidth="1"/>
    <col min="1298" max="1537" width="11.42578125" style="1"/>
    <col min="1538" max="1538" width="14.85546875" style="1" bestFit="1" customWidth="1"/>
    <col min="1539" max="1539" width="12.140625" style="1" bestFit="1" customWidth="1"/>
    <col min="1540" max="1540" width="22.5703125" style="1" customWidth="1"/>
    <col min="1541" max="1541" width="23" style="1" customWidth="1"/>
    <col min="1542" max="1542" width="0" style="1" hidden="1" customWidth="1"/>
    <col min="1543" max="1551" width="20.7109375" style="1" customWidth="1"/>
    <col min="1552" max="1553" width="0" style="1" hidden="1" customWidth="1"/>
    <col min="1554" max="1793" width="11.42578125" style="1"/>
    <col min="1794" max="1794" width="14.85546875" style="1" bestFit="1" customWidth="1"/>
    <col min="1795" max="1795" width="12.140625" style="1" bestFit="1" customWidth="1"/>
    <col min="1796" max="1796" width="22.5703125" style="1" customWidth="1"/>
    <col min="1797" max="1797" width="23" style="1" customWidth="1"/>
    <col min="1798" max="1798" width="0" style="1" hidden="1" customWidth="1"/>
    <col min="1799" max="1807" width="20.7109375" style="1" customWidth="1"/>
    <col min="1808" max="1809" width="0" style="1" hidden="1" customWidth="1"/>
    <col min="1810" max="2049" width="11.42578125" style="1"/>
    <col min="2050" max="2050" width="14.85546875" style="1" bestFit="1" customWidth="1"/>
    <col min="2051" max="2051" width="12.140625" style="1" bestFit="1" customWidth="1"/>
    <col min="2052" max="2052" width="22.5703125" style="1" customWidth="1"/>
    <col min="2053" max="2053" width="23" style="1" customWidth="1"/>
    <col min="2054" max="2054" width="0" style="1" hidden="1" customWidth="1"/>
    <col min="2055" max="2063" width="20.7109375" style="1" customWidth="1"/>
    <col min="2064" max="2065" width="0" style="1" hidden="1" customWidth="1"/>
    <col min="2066" max="2305" width="11.42578125" style="1"/>
    <col min="2306" max="2306" width="14.85546875" style="1" bestFit="1" customWidth="1"/>
    <col min="2307" max="2307" width="12.140625" style="1" bestFit="1" customWidth="1"/>
    <col min="2308" max="2308" width="22.5703125" style="1" customWidth="1"/>
    <col min="2309" max="2309" width="23" style="1" customWidth="1"/>
    <col min="2310" max="2310" width="0" style="1" hidden="1" customWidth="1"/>
    <col min="2311" max="2319" width="20.7109375" style="1" customWidth="1"/>
    <col min="2320" max="2321" width="0" style="1" hidden="1" customWidth="1"/>
    <col min="2322" max="2561" width="11.42578125" style="1"/>
    <col min="2562" max="2562" width="14.85546875" style="1" bestFit="1" customWidth="1"/>
    <col min="2563" max="2563" width="12.140625" style="1" bestFit="1" customWidth="1"/>
    <col min="2564" max="2564" width="22.5703125" style="1" customWidth="1"/>
    <col min="2565" max="2565" width="23" style="1" customWidth="1"/>
    <col min="2566" max="2566" width="0" style="1" hidden="1" customWidth="1"/>
    <col min="2567" max="2575" width="20.7109375" style="1" customWidth="1"/>
    <col min="2576" max="2577" width="0" style="1" hidden="1" customWidth="1"/>
    <col min="2578" max="2817" width="11.42578125" style="1"/>
    <col min="2818" max="2818" width="14.85546875" style="1" bestFit="1" customWidth="1"/>
    <col min="2819" max="2819" width="12.140625" style="1" bestFit="1" customWidth="1"/>
    <col min="2820" max="2820" width="22.5703125" style="1" customWidth="1"/>
    <col min="2821" max="2821" width="23" style="1" customWidth="1"/>
    <col min="2822" max="2822" width="0" style="1" hidden="1" customWidth="1"/>
    <col min="2823" max="2831" width="20.7109375" style="1" customWidth="1"/>
    <col min="2832" max="2833" width="0" style="1" hidden="1" customWidth="1"/>
    <col min="2834" max="3073" width="11.42578125" style="1"/>
    <col min="3074" max="3074" width="14.85546875" style="1" bestFit="1" customWidth="1"/>
    <col min="3075" max="3075" width="12.140625" style="1" bestFit="1" customWidth="1"/>
    <col min="3076" max="3076" width="22.5703125" style="1" customWidth="1"/>
    <col min="3077" max="3077" width="23" style="1" customWidth="1"/>
    <col min="3078" max="3078" width="0" style="1" hidden="1" customWidth="1"/>
    <col min="3079" max="3087" width="20.7109375" style="1" customWidth="1"/>
    <col min="3088" max="3089" width="0" style="1" hidden="1" customWidth="1"/>
    <col min="3090" max="3329" width="11.42578125" style="1"/>
    <col min="3330" max="3330" width="14.85546875" style="1" bestFit="1" customWidth="1"/>
    <col min="3331" max="3331" width="12.140625" style="1" bestFit="1" customWidth="1"/>
    <col min="3332" max="3332" width="22.5703125" style="1" customWidth="1"/>
    <col min="3333" max="3333" width="23" style="1" customWidth="1"/>
    <col min="3334" max="3334" width="0" style="1" hidden="1" customWidth="1"/>
    <col min="3335" max="3343" width="20.7109375" style="1" customWidth="1"/>
    <col min="3344" max="3345" width="0" style="1" hidden="1" customWidth="1"/>
    <col min="3346" max="3585" width="11.42578125" style="1"/>
    <col min="3586" max="3586" width="14.85546875" style="1" bestFit="1" customWidth="1"/>
    <col min="3587" max="3587" width="12.140625" style="1" bestFit="1" customWidth="1"/>
    <col min="3588" max="3588" width="22.5703125" style="1" customWidth="1"/>
    <col min="3589" max="3589" width="23" style="1" customWidth="1"/>
    <col min="3590" max="3590" width="0" style="1" hidden="1" customWidth="1"/>
    <col min="3591" max="3599" width="20.7109375" style="1" customWidth="1"/>
    <col min="3600" max="3601" width="0" style="1" hidden="1" customWidth="1"/>
    <col min="3602" max="3841" width="11.42578125" style="1"/>
    <col min="3842" max="3842" width="14.85546875" style="1" bestFit="1" customWidth="1"/>
    <col min="3843" max="3843" width="12.140625" style="1" bestFit="1" customWidth="1"/>
    <col min="3844" max="3844" width="22.5703125" style="1" customWidth="1"/>
    <col min="3845" max="3845" width="23" style="1" customWidth="1"/>
    <col min="3846" max="3846" width="0" style="1" hidden="1" customWidth="1"/>
    <col min="3847" max="3855" width="20.7109375" style="1" customWidth="1"/>
    <col min="3856" max="3857" width="0" style="1" hidden="1" customWidth="1"/>
    <col min="3858" max="4097" width="11.42578125" style="1"/>
    <col min="4098" max="4098" width="14.85546875" style="1" bestFit="1" customWidth="1"/>
    <col min="4099" max="4099" width="12.140625" style="1" bestFit="1" customWidth="1"/>
    <col min="4100" max="4100" width="22.5703125" style="1" customWidth="1"/>
    <col min="4101" max="4101" width="23" style="1" customWidth="1"/>
    <col min="4102" max="4102" width="0" style="1" hidden="1" customWidth="1"/>
    <col min="4103" max="4111" width="20.7109375" style="1" customWidth="1"/>
    <col min="4112" max="4113" width="0" style="1" hidden="1" customWidth="1"/>
    <col min="4114" max="4353" width="11.42578125" style="1"/>
    <col min="4354" max="4354" width="14.85546875" style="1" bestFit="1" customWidth="1"/>
    <col min="4355" max="4355" width="12.140625" style="1" bestFit="1" customWidth="1"/>
    <col min="4356" max="4356" width="22.5703125" style="1" customWidth="1"/>
    <col min="4357" max="4357" width="23" style="1" customWidth="1"/>
    <col min="4358" max="4358" width="0" style="1" hidden="1" customWidth="1"/>
    <col min="4359" max="4367" width="20.7109375" style="1" customWidth="1"/>
    <col min="4368" max="4369" width="0" style="1" hidden="1" customWidth="1"/>
    <col min="4370" max="4609" width="11.42578125" style="1"/>
    <col min="4610" max="4610" width="14.85546875" style="1" bestFit="1" customWidth="1"/>
    <col min="4611" max="4611" width="12.140625" style="1" bestFit="1" customWidth="1"/>
    <col min="4612" max="4612" width="22.5703125" style="1" customWidth="1"/>
    <col min="4613" max="4613" width="23" style="1" customWidth="1"/>
    <col min="4614" max="4614" width="0" style="1" hidden="1" customWidth="1"/>
    <col min="4615" max="4623" width="20.7109375" style="1" customWidth="1"/>
    <col min="4624" max="4625" width="0" style="1" hidden="1" customWidth="1"/>
    <col min="4626" max="4865" width="11.42578125" style="1"/>
    <col min="4866" max="4866" width="14.85546875" style="1" bestFit="1" customWidth="1"/>
    <col min="4867" max="4867" width="12.140625" style="1" bestFit="1" customWidth="1"/>
    <col min="4868" max="4868" width="22.5703125" style="1" customWidth="1"/>
    <col min="4869" max="4869" width="23" style="1" customWidth="1"/>
    <col min="4870" max="4870" width="0" style="1" hidden="1" customWidth="1"/>
    <col min="4871" max="4879" width="20.7109375" style="1" customWidth="1"/>
    <col min="4880" max="4881" width="0" style="1" hidden="1" customWidth="1"/>
    <col min="4882" max="5121" width="11.42578125" style="1"/>
    <col min="5122" max="5122" width="14.85546875" style="1" bestFit="1" customWidth="1"/>
    <col min="5123" max="5123" width="12.140625" style="1" bestFit="1" customWidth="1"/>
    <col min="5124" max="5124" width="22.5703125" style="1" customWidth="1"/>
    <col min="5125" max="5125" width="23" style="1" customWidth="1"/>
    <col min="5126" max="5126" width="0" style="1" hidden="1" customWidth="1"/>
    <col min="5127" max="5135" width="20.7109375" style="1" customWidth="1"/>
    <col min="5136" max="5137" width="0" style="1" hidden="1" customWidth="1"/>
    <col min="5138" max="5377" width="11.42578125" style="1"/>
    <col min="5378" max="5378" width="14.85546875" style="1" bestFit="1" customWidth="1"/>
    <col min="5379" max="5379" width="12.140625" style="1" bestFit="1" customWidth="1"/>
    <col min="5380" max="5380" width="22.5703125" style="1" customWidth="1"/>
    <col min="5381" max="5381" width="23" style="1" customWidth="1"/>
    <col min="5382" max="5382" width="0" style="1" hidden="1" customWidth="1"/>
    <col min="5383" max="5391" width="20.7109375" style="1" customWidth="1"/>
    <col min="5392" max="5393" width="0" style="1" hidden="1" customWidth="1"/>
    <col min="5394" max="5633" width="11.42578125" style="1"/>
    <col min="5634" max="5634" width="14.85546875" style="1" bestFit="1" customWidth="1"/>
    <col min="5635" max="5635" width="12.140625" style="1" bestFit="1" customWidth="1"/>
    <col min="5636" max="5636" width="22.5703125" style="1" customWidth="1"/>
    <col min="5637" max="5637" width="23" style="1" customWidth="1"/>
    <col min="5638" max="5638" width="0" style="1" hidden="1" customWidth="1"/>
    <col min="5639" max="5647" width="20.7109375" style="1" customWidth="1"/>
    <col min="5648" max="5649" width="0" style="1" hidden="1" customWidth="1"/>
    <col min="5650" max="5889" width="11.42578125" style="1"/>
    <col min="5890" max="5890" width="14.85546875" style="1" bestFit="1" customWidth="1"/>
    <col min="5891" max="5891" width="12.140625" style="1" bestFit="1" customWidth="1"/>
    <col min="5892" max="5892" width="22.5703125" style="1" customWidth="1"/>
    <col min="5893" max="5893" width="23" style="1" customWidth="1"/>
    <col min="5894" max="5894" width="0" style="1" hidden="1" customWidth="1"/>
    <col min="5895" max="5903" width="20.7109375" style="1" customWidth="1"/>
    <col min="5904" max="5905" width="0" style="1" hidden="1" customWidth="1"/>
    <col min="5906" max="6145" width="11.42578125" style="1"/>
    <col min="6146" max="6146" width="14.85546875" style="1" bestFit="1" customWidth="1"/>
    <col min="6147" max="6147" width="12.140625" style="1" bestFit="1" customWidth="1"/>
    <col min="6148" max="6148" width="22.5703125" style="1" customWidth="1"/>
    <col min="6149" max="6149" width="23" style="1" customWidth="1"/>
    <col min="6150" max="6150" width="0" style="1" hidden="1" customWidth="1"/>
    <col min="6151" max="6159" width="20.7109375" style="1" customWidth="1"/>
    <col min="6160" max="6161" width="0" style="1" hidden="1" customWidth="1"/>
    <col min="6162" max="6401" width="11.42578125" style="1"/>
    <col min="6402" max="6402" width="14.85546875" style="1" bestFit="1" customWidth="1"/>
    <col min="6403" max="6403" width="12.140625" style="1" bestFit="1" customWidth="1"/>
    <col min="6404" max="6404" width="22.5703125" style="1" customWidth="1"/>
    <col min="6405" max="6405" width="23" style="1" customWidth="1"/>
    <col min="6406" max="6406" width="0" style="1" hidden="1" customWidth="1"/>
    <col min="6407" max="6415" width="20.7109375" style="1" customWidth="1"/>
    <col min="6416" max="6417" width="0" style="1" hidden="1" customWidth="1"/>
    <col min="6418" max="6657" width="11.42578125" style="1"/>
    <col min="6658" max="6658" width="14.85546875" style="1" bestFit="1" customWidth="1"/>
    <col min="6659" max="6659" width="12.140625" style="1" bestFit="1" customWidth="1"/>
    <col min="6660" max="6660" width="22.5703125" style="1" customWidth="1"/>
    <col min="6661" max="6661" width="23" style="1" customWidth="1"/>
    <col min="6662" max="6662" width="0" style="1" hidden="1" customWidth="1"/>
    <col min="6663" max="6671" width="20.7109375" style="1" customWidth="1"/>
    <col min="6672" max="6673" width="0" style="1" hidden="1" customWidth="1"/>
    <col min="6674" max="6913" width="11.42578125" style="1"/>
    <col min="6914" max="6914" width="14.85546875" style="1" bestFit="1" customWidth="1"/>
    <col min="6915" max="6915" width="12.140625" style="1" bestFit="1" customWidth="1"/>
    <col min="6916" max="6916" width="22.5703125" style="1" customWidth="1"/>
    <col min="6917" max="6917" width="23" style="1" customWidth="1"/>
    <col min="6918" max="6918" width="0" style="1" hidden="1" customWidth="1"/>
    <col min="6919" max="6927" width="20.7109375" style="1" customWidth="1"/>
    <col min="6928" max="6929" width="0" style="1" hidden="1" customWidth="1"/>
    <col min="6930" max="7169" width="11.42578125" style="1"/>
    <col min="7170" max="7170" width="14.85546875" style="1" bestFit="1" customWidth="1"/>
    <col min="7171" max="7171" width="12.140625" style="1" bestFit="1" customWidth="1"/>
    <col min="7172" max="7172" width="22.5703125" style="1" customWidth="1"/>
    <col min="7173" max="7173" width="23" style="1" customWidth="1"/>
    <col min="7174" max="7174" width="0" style="1" hidden="1" customWidth="1"/>
    <col min="7175" max="7183" width="20.7109375" style="1" customWidth="1"/>
    <col min="7184" max="7185" width="0" style="1" hidden="1" customWidth="1"/>
    <col min="7186" max="7425" width="11.42578125" style="1"/>
    <col min="7426" max="7426" width="14.85546875" style="1" bestFit="1" customWidth="1"/>
    <col min="7427" max="7427" width="12.140625" style="1" bestFit="1" customWidth="1"/>
    <col min="7428" max="7428" width="22.5703125" style="1" customWidth="1"/>
    <col min="7429" max="7429" width="23" style="1" customWidth="1"/>
    <col min="7430" max="7430" width="0" style="1" hidden="1" customWidth="1"/>
    <col min="7431" max="7439" width="20.7109375" style="1" customWidth="1"/>
    <col min="7440" max="7441" width="0" style="1" hidden="1" customWidth="1"/>
    <col min="7442" max="7681" width="11.42578125" style="1"/>
    <col min="7682" max="7682" width="14.85546875" style="1" bestFit="1" customWidth="1"/>
    <col min="7683" max="7683" width="12.140625" style="1" bestFit="1" customWidth="1"/>
    <col min="7684" max="7684" width="22.5703125" style="1" customWidth="1"/>
    <col min="7685" max="7685" width="23" style="1" customWidth="1"/>
    <col min="7686" max="7686" width="0" style="1" hidden="1" customWidth="1"/>
    <col min="7687" max="7695" width="20.7109375" style="1" customWidth="1"/>
    <col min="7696" max="7697" width="0" style="1" hidden="1" customWidth="1"/>
    <col min="7698" max="7937" width="11.42578125" style="1"/>
    <col min="7938" max="7938" width="14.85546875" style="1" bestFit="1" customWidth="1"/>
    <col min="7939" max="7939" width="12.140625" style="1" bestFit="1" customWidth="1"/>
    <col min="7940" max="7940" width="22.5703125" style="1" customWidth="1"/>
    <col min="7941" max="7941" width="23" style="1" customWidth="1"/>
    <col min="7942" max="7942" width="0" style="1" hidden="1" customWidth="1"/>
    <col min="7943" max="7951" width="20.7109375" style="1" customWidth="1"/>
    <col min="7952" max="7953" width="0" style="1" hidden="1" customWidth="1"/>
    <col min="7954" max="8193" width="11.42578125" style="1"/>
    <col min="8194" max="8194" width="14.85546875" style="1" bestFit="1" customWidth="1"/>
    <col min="8195" max="8195" width="12.140625" style="1" bestFit="1" customWidth="1"/>
    <col min="8196" max="8196" width="22.5703125" style="1" customWidth="1"/>
    <col min="8197" max="8197" width="23" style="1" customWidth="1"/>
    <col min="8198" max="8198" width="0" style="1" hidden="1" customWidth="1"/>
    <col min="8199" max="8207" width="20.7109375" style="1" customWidth="1"/>
    <col min="8208" max="8209" width="0" style="1" hidden="1" customWidth="1"/>
    <col min="8210" max="8449" width="11.42578125" style="1"/>
    <col min="8450" max="8450" width="14.85546875" style="1" bestFit="1" customWidth="1"/>
    <col min="8451" max="8451" width="12.140625" style="1" bestFit="1" customWidth="1"/>
    <col min="8452" max="8452" width="22.5703125" style="1" customWidth="1"/>
    <col min="8453" max="8453" width="23" style="1" customWidth="1"/>
    <col min="8454" max="8454" width="0" style="1" hidden="1" customWidth="1"/>
    <col min="8455" max="8463" width="20.7109375" style="1" customWidth="1"/>
    <col min="8464" max="8465" width="0" style="1" hidden="1" customWidth="1"/>
    <col min="8466" max="8705" width="11.42578125" style="1"/>
    <col min="8706" max="8706" width="14.85546875" style="1" bestFit="1" customWidth="1"/>
    <col min="8707" max="8707" width="12.140625" style="1" bestFit="1" customWidth="1"/>
    <col min="8708" max="8708" width="22.5703125" style="1" customWidth="1"/>
    <col min="8709" max="8709" width="23" style="1" customWidth="1"/>
    <col min="8710" max="8710" width="0" style="1" hidden="1" customWidth="1"/>
    <col min="8711" max="8719" width="20.7109375" style="1" customWidth="1"/>
    <col min="8720" max="8721" width="0" style="1" hidden="1" customWidth="1"/>
    <col min="8722" max="8961" width="11.42578125" style="1"/>
    <col min="8962" max="8962" width="14.85546875" style="1" bestFit="1" customWidth="1"/>
    <col min="8963" max="8963" width="12.140625" style="1" bestFit="1" customWidth="1"/>
    <col min="8964" max="8964" width="22.5703125" style="1" customWidth="1"/>
    <col min="8965" max="8965" width="23" style="1" customWidth="1"/>
    <col min="8966" max="8966" width="0" style="1" hidden="1" customWidth="1"/>
    <col min="8967" max="8975" width="20.7109375" style="1" customWidth="1"/>
    <col min="8976" max="8977" width="0" style="1" hidden="1" customWidth="1"/>
    <col min="8978" max="9217" width="11.42578125" style="1"/>
    <col min="9218" max="9218" width="14.85546875" style="1" bestFit="1" customWidth="1"/>
    <col min="9219" max="9219" width="12.140625" style="1" bestFit="1" customWidth="1"/>
    <col min="9220" max="9220" width="22.5703125" style="1" customWidth="1"/>
    <col min="9221" max="9221" width="23" style="1" customWidth="1"/>
    <col min="9222" max="9222" width="0" style="1" hidden="1" customWidth="1"/>
    <col min="9223" max="9231" width="20.7109375" style="1" customWidth="1"/>
    <col min="9232" max="9233" width="0" style="1" hidden="1" customWidth="1"/>
    <col min="9234" max="9473" width="11.42578125" style="1"/>
    <col min="9474" max="9474" width="14.85546875" style="1" bestFit="1" customWidth="1"/>
    <col min="9475" max="9475" width="12.140625" style="1" bestFit="1" customWidth="1"/>
    <col min="9476" max="9476" width="22.5703125" style="1" customWidth="1"/>
    <col min="9477" max="9477" width="23" style="1" customWidth="1"/>
    <col min="9478" max="9478" width="0" style="1" hidden="1" customWidth="1"/>
    <col min="9479" max="9487" width="20.7109375" style="1" customWidth="1"/>
    <col min="9488" max="9489" width="0" style="1" hidden="1" customWidth="1"/>
    <col min="9490" max="9729" width="11.42578125" style="1"/>
    <col min="9730" max="9730" width="14.85546875" style="1" bestFit="1" customWidth="1"/>
    <col min="9731" max="9731" width="12.140625" style="1" bestFit="1" customWidth="1"/>
    <col min="9732" max="9732" width="22.5703125" style="1" customWidth="1"/>
    <col min="9733" max="9733" width="23" style="1" customWidth="1"/>
    <col min="9734" max="9734" width="0" style="1" hidden="1" customWidth="1"/>
    <col min="9735" max="9743" width="20.7109375" style="1" customWidth="1"/>
    <col min="9744" max="9745" width="0" style="1" hidden="1" customWidth="1"/>
    <col min="9746" max="9985" width="11.42578125" style="1"/>
    <col min="9986" max="9986" width="14.85546875" style="1" bestFit="1" customWidth="1"/>
    <col min="9987" max="9987" width="12.140625" style="1" bestFit="1" customWidth="1"/>
    <col min="9988" max="9988" width="22.5703125" style="1" customWidth="1"/>
    <col min="9989" max="9989" width="23" style="1" customWidth="1"/>
    <col min="9990" max="9990" width="0" style="1" hidden="1" customWidth="1"/>
    <col min="9991" max="9999" width="20.7109375" style="1" customWidth="1"/>
    <col min="10000" max="10001" width="0" style="1" hidden="1" customWidth="1"/>
    <col min="10002" max="10241" width="11.42578125" style="1"/>
    <col min="10242" max="10242" width="14.85546875" style="1" bestFit="1" customWidth="1"/>
    <col min="10243" max="10243" width="12.140625" style="1" bestFit="1" customWidth="1"/>
    <col min="10244" max="10244" width="22.5703125" style="1" customWidth="1"/>
    <col min="10245" max="10245" width="23" style="1" customWidth="1"/>
    <col min="10246" max="10246" width="0" style="1" hidden="1" customWidth="1"/>
    <col min="10247" max="10255" width="20.7109375" style="1" customWidth="1"/>
    <col min="10256" max="10257" width="0" style="1" hidden="1" customWidth="1"/>
    <col min="10258" max="10497" width="11.42578125" style="1"/>
    <col min="10498" max="10498" width="14.85546875" style="1" bestFit="1" customWidth="1"/>
    <col min="10499" max="10499" width="12.140625" style="1" bestFit="1" customWidth="1"/>
    <col min="10500" max="10500" width="22.5703125" style="1" customWidth="1"/>
    <col min="10501" max="10501" width="23" style="1" customWidth="1"/>
    <col min="10502" max="10502" width="0" style="1" hidden="1" customWidth="1"/>
    <col min="10503" max="10511" width="20.7109375" style="1" customWidth="1"/>
    <col min="10512" max="10513" width="0" style="1" hidden="1" customWidth="1"/>
    <col min="10514" max="10753" width="11.42578125" style="1"/>
    <col min="10754" max="10754" width="14.85546875" style="1" bestFit="1" customWidth="1"/>
    <col min="10755" max="10755" width="12.140625" style="1" bestFit="1" customWidth="1"/>
    <col min="10756" max="10756" width="22.5703125" style="1" customWidth="1"/>
    <col min="10757" max="10757" width="23" style="1" customWidth="1"/>
    <col min="10758" max="10758" width="0" style="1" hidden="1" customWidth="1"/>
    <col min="10759" max="10767" width="20.7109375" style="1" customWidth="1"/>
    <col min="10768" max="10769" width="0" style="1" hidden="1" customWidth="1"/>
    <col min="10770" max="11009" width="11.42578125" style="1"/>
    <col min="11010" max="11010" width="14.85546875" style="1" bestFit="1" customWidth="1"/>
    <col min="11011" max="11011" width="12.140625" style="1" bestFit="1" customWidth="1"/>
    <col min="11012" max="11012" width="22.5703125" style="1" customWidth="1"/>
    <col min="11013" max="11013" width="23" style="1" customWidth="1"/>
    <col min="11014" max="11014" width="0" style="1" hidden="1" customWidth="1"/>
    <col min="11015" max="11023" width="20.7109375" style="1" customWidth="1"/>
    <col min="11024" max="11025" width="0" style="1" hidden="1" customWidth="1"/>
    <col min="11026" max="11265" width="11.42578125" style="1"/>
    <col min="11266" max="11266" width="14.85546875" style="1" bestFit="1" customWidth="1"/>
    <col min="11267" max="11267" width="12.140625" style="1" bestFit="1" customWidth="1"/>
    <col min="11268" max="11268" width="22.5703125" style="1" customWidth="1"/>
    <col min="11269" max="11269" width="23" style="1" customWidth="1"/>
    <col min="11270" max="11270" width="0" style="1" hidden="1" customWidth="1"/>
    <col min="11271" max="11279" width="20.7109375" style="1" customWidth="1"/>
    <col min="11280" max="11281" width="0" style="1" hidden="1" customWidth="1"/>
    <col min="11282" max="11521" width="11.42578125" style="1"/>
    <col min="11522" max="11522" width="14.85546875" style="1" bestFit="1" customWidth="1"/>
    <col min="11523" max="11523" width="12.140625" style="1" bestFit="1" customWidth="1"/>
    <col min="11524" max="11524" width="22.5703125" style="1" customWidth="1"/>
    <col min="11525" max="11525" width="23" style="1" customWidth="1"/>
    <col min="11526" max="11526" width="0" style="1" hidden="1" customWidth="1"/>
    <col min="11527" max="11535" width="20.7109375" style="1" customWidth="1"/>
    <col min="11536" max="11537" width="0" style="1" hidden="1" customWidth="1"/>
    <col min="11538" max="11777" width="11.42578125" style="1"/>
    <col min="11778" max="11778" width="14.85546875" style="1" bestFit="1" customWidth="1"/>
    <col min="11779" max="11779" width="12.140625" style="1" bestFit="1" customWidth="1"/>
    <col min="11780" max="11780" width="22.5703125" style="1" customWidth="1"/>
    <col min="11781" max="11781" width="23" style="1" customWidth="1"/>
    <col min="11782" max="11782" width="0" style="1" hidden="1" customWidth="1"/>
    <col min="11783" max="11791" width="20.7109375" style="1" customWidth="1"/>
    <col min="11792" max="11793" width="0" style="1" hidden="1" customWidth="1"/>
    <col min="11794" max="12033" width="11.42578125" style="1"/>
    <col min="12034" max="12034" width="14.85546875" style="1" bestFit="1" customWidth="1"/>
    <col min="12035" max="12035" width="12.140625" style="1" bestFit="1" customWidth="1"/>
    <col min="12036" max="12036" width="22.5703125" style="1" customWidth="1"/>
    <col min="12037" max="12037" width="23" style="1" customWidth="1"/>
    <col min="12038" max="12038" width="0" style="1" hidden="1" customWidth="1"/>
    <col min="12039" max="12047" width="20.7109375" style="1" customWidth="1"/>
    <col min="12048" max="12049" width="0" style="1" hidden="1" customWidth="1"/>
    <col min="12050" max="12289" width="11.42578125" style="1"/>
    <col min="12290" max="12290" width="14.85546875" style="1" bestFit="1" customWidth="1"/>
    <col min="12291" max="12291" width="12.140625" style="1" bestFit="1" customWidth="1"/>
    <col min="12292" max="12292" width="22.5703125" style="1" customWidth="1"/>
    <col min="12293" max="12293" width="23" style="1" customWidth="1"/>
    <col min="12294" max="12294" width="0" style="1" hidden="1" customWidth="1"/>
    <col min="12295" max="12303" width="20.7109375" style="1" customWidth="1"/>
    <col min="12304" max="12305" width="0" style="1" hidden="1" customWidth="1"/>
    <col min="12306" max="12545" width="11.42578125" style="1"/>
    <col min="12546" max="12546" width="14.85546875" style="1" bestFit="1" customWidth="1"/>
    <col min="12547" max="12547" width="12.140625" style="1" bestFit="1" customWidth="1"/>
    <col min="12548" max="12548" width="22.5703125" style="1" customWidth="1"/>
    <col min="12549" max="12549" width="23" style="1" customWidth="1"/>
    <col min="12550" max="12550" width="0" style="1" hidden="1" customWidth="1"/>
    <col min="12551" max="12559" width="20.7109375" style="1" customWidth="1"/>
    <col min="12560" max="12561" width="0" style="1" hidden="1" customWidth="1"/>
    <col min="12562" max="12801" width="11.42578125" style="1"/>
    <col min="12802" max="12802" width="14.85546875" style="1" bestFit="1" customWidth="1"/>
    <col min="12803" max="12803" width="12.140625" style="1" bestFit="1" customWidth="1"/>
    <col min="12804" max="12804" width="22.5703125" style="1" customWidth="1"/>
    <col min="12805" max="12805" width="23" style="1" customWidth="1"/>
    <col min="12806" max="12806" width="0" style="1" hidden="1" customWidth="1"/>
    <col min="12807" max="12815" width="20.7109375" style="1" customWidth="1"/>
    <col min="12816" max="12817" width="0" style="1" hidden="1" customWidth="1"/>
    <col min="12818" max="13057" width="11.42578125" style="1"/>
    <col min="13058" max="13058" width="14.85546875" style="1" bestFit="1" customWidth="1"/>
    <col min="13059" max="13059" width="12.140625" style="1" bestFit="1" customWidth="1"/>
    <col min="13060" max="13060" width="22.5703125" style="1" customWidth="1"/>
    <col min="13061" max="13061" width="23" style="1" customWidth="1"/>
    <col min="13062" max="13062" width="0" style="1" hidden="1" customWidth="1"/>
    <col min="13063" max="13071" width="20.7109375" style="1" customWidth="1"/>
    <col min="13072" max="13073" width="0" style="1" hidden="1" customWidth="1"/>
    <col min="13074" max="13313" width="11.42578125" style="1"/>
    <col min="13314" max="13314" width="14.85546875" style="1" bestFit="1" customWidth="1"/>
    <col min="13315" max="13315" width="12.140625" style="1" bestFit="1" customWidth="1"/>
    <col min="13316" max="13316" width="22.5703125" style="1" customWidth="1"/>
    <col min="13317" max="13317" width="23" style="1" customWidth="1"/>
    <col min="13318" max="13318" width="0" style="1" hidden="1" customWidth="1"/>
    <col min="13319" max="13327" width="20.7109375" style="1" customWidth="1"/>
    <col min="13328" max="13329" width="0" style="1" hidden="1" customWidth="1"/>
    <col min="13330" max="13569" width="11.42578125" style="1"/>
    <col min="13570" max="13570" width="14.85546875" style="1" bestFit="1" customWidth="1"/>
    <col min="13571" max="13571" width="12.140625" style="1" bestFit="1" customWidth="1"/>
    <col min="13572" max="13572" width="22.5703125" style="1" customWidth="1"/>
    <col min="13573" max="13573" width="23" style="1" customWidth="1"/>
    <col min="13574" max="13574" width="0" style="1" hidden="1" customWidth="1"/>
    <col min="13575" max="13583" width="20.7109375" style="1" customWidth="1"/>
    <col min="13584" max="13585" width="0" style="1" hidden="1" customWidth="1"/>
    <col min="13586" max="13825" width="11.42578125" style="1"/>
    <col min="13826" max="13826" width="14.85546875" style="1" bestFit="1" customWidth="1"/>
    <col min="13827" max="13827" width="12.140625" style="1" bestFit="1" customWidth="1"/>
    <col min="13828" max="13828" width="22.5703125" style="1" customWidth="1"/>
    <col min="13829" max="13829" width="23" style="1" customWidth="1"/>
    <col min="13830" max="13830" width="0" style="1" hidden="1" customWidth="1"/>
    <col min="13831" max="13839" width="20.7109375" style="1" customWidth="1"/>
    <col min="13840" max="13841" width="0" style="1" hidden="1" customWidth="1"/>
    <col min="13842" max="14081" width="11.42578125" style="1"/>
    <col min="14082" max="14082" width="14.85546875" style="1" bestFit="1" customWidth="1"/>
    <col min="14083" max="14083" width="12.140625" style="1" bestFit="1" customWidth="1"/>
    <col min="14084" max="14084" width="22.5703125" style="1" customWidth="1"/>
    <col min="14085" max="14085" width="23" style="1" customWidth="1"/>
    <col min="14086" max="14086" width="0" style="1" hidden="1" customWidth="1"/>
    <col min="14087" max="14095" width="20.7109375" style="1" customWidth="1"/>
    <col min="14096" max="14097" width="0" style="1" hidden="1" customWidth="1"/>
    <col min="14098" max="14337" width="11.42578125" style="1"/>
    <col min="14338" max="14338" width="14.85546875" style="1" bestFit="1" customWidth="1"/>
    <col min="14339" max="14339" width="12.140625" style="1" bestFit="1" customWidth="1"/>
    <col min="14340" max="14340" width="22.5703125" style="1" customWidth="1"/>
    <col min="14341" max="14341" width="23" style="1" customWidth="1"/>
    <col min="14342" max="14342" width="0" style="1" hidden="1" customWidth="1"/>
    <col min="14343" max="14351" width="20.7109375" style="1" customWidth="1"/>
    <col min="14352" max="14353" width="0" style="1" hidden="1" customWidth="1"/>
    <col min="14354" max="14593" width="11.42578125" style="1"/>
    <col min="14594" max="14594" width="14.85546875" style="1" bestFit="1" customWidth="1"/>
    <col min="14595" max="14595" width="12.140625" style="1" bestFit="1" customWidth="1"/>
    <col min="14596" max="14596" width="22.5703125" style="1" customWidth="1"/>
    <col min="14597" max="14597" width="23" style="1" customWidth="1"/>
    <col min="14598" max="14598" width="0" style="1" hidden="1" customWidth="1"/>
    <col min="14599" max="14607" width="20.7109375" style="1" customWidth="1"/>
    <col min="14608" max="14609" width="0" style="1" hidden="1" customWidth="1"/>
    <col min="14610" max="14849" width="11.42578125" style="1"/>
    <col min="14850" max="14850" width="14.85546875" style="1" bestFit="1" customWidth="1"/>
    <col min="14851" max="14851" width="12.140625" style="1" bestFit="1" customWidth="1"/>
    <col min="14852" max="14852" width="22.5703125" style="1" customWidth="1"/>
    <col min="14853" max="14853" width="23" style="1" customWidth="1"/>
    <col min="14854" max="14854" width="0" style="1" hidden="1" customWidth="1"/>
    <col min="14855" max="14863" width="20.7109375" style="1" customWidth="1"/>
    <col min="14864" max="14865" width="0" style="1" hidden="1" customWidth="1"/>
    <col min="14866" max="15105" width="11.42578125" style="1"/>
    <col min="15106" max="15106" width="14.85546875" style="1" bestFit="1" customWidth="1"/>
    <col min="15107" max="15107" width="12.140625" style="1" bestFit="1" customWidth="1"/>
    <col min="15108" max="15108" width="22.5703125" style="1" customWidth="1"/>
    <col min="15109" max="15109" width="23" style="1" customWidth="1"/>
    <col min="15110" max="15110" width="0" style="1" hidden="1" customWidth="1"/>
    <col min="15111" max="15119" width="20.7109375" style="1" customWidth="1"/>
    <col min="15120" max="15121" width="0" style="1" hidden="1" customWidth="1"/>
    <col min="15122" max="15361" width="11.42578125" style="1"/>
    <col min="15362" max="15362" width="14.85546875" style="1" bestFit="1" customWidth="1"/>
    <col min="15363" max="15363" width="12.140625" style="1" bestFit="1" customWidth="1"/>
    <col min="15364" max="15364" width="22.5703125" style="1" customWidth="1"/>
    <col min="15365" max="15365" width="23" style="1" customWidth="1"/>
    <col min="15366" max="15366" width="0" style="1" hidden="1" customWidth="1"/>
    <col min="15367" max="15375" width="20.7109375" style="1" customWidth="1"/>
    <col min="15376" max="15377" width="0" style="1" hidden="1" customWidth="1"/>
    <col min="15378" max="15617" width="11.42578125" style="1"/>
    <col min="15618" max="15618" width="14.85546875" style="1" bestFit="1" customWidth="1"/>
    <col min="15619" max="15619" width="12.140625" style="1" bestFit="1" customWidth="1"/>
    <col min="15620" max="15620" width="22.5703125" style="1" customWidth="1"/>
    <col min="15621" max="15621" width="23" style="1" customWidth="1"/>
    <col min="15622" max="15622" width="0" style="1" hidden="1" customWidth="1"/>
    <col min="15623" max="15631" width="20.7109375" style="1" customWidth="1"/>
    <col min="15632" max="15633" width="0" style="1" hidden="1" customWidth="1"/>
    <col min="15634" max="15873" width="11.42578125" style="1"/>
    <col min="15874" max="15874" width="14.85546875" style="1" bestFit="1" customWidth="1"/>
    <col min="15875" max="15875" width="12.140625" style="1" bestFit="1" customWidth="1"/>
    <col min="15876" max="15876" width="22.5703125" style="1" customWidth="1"/>
    <col min="15877" max="15877" width="23" style="1" customWidth="1"/>
    <col min="15878" max="15878" width="0" style="1" hidden="1" customWidth="1"/>
    <col min="15879" max="15887" width="20.7109375" style="1" customWidth="1"/>
    <col min="15888" max="15889" width="0" style="1" hidden="1" customWidth="1"/>
    <col min="15890" max="16129" width="11.42578125" style="1"/>
    <col min="16130" max="16130" width="14.85546875" style="1" bestFit="1" customWidth="1"/>
    <col min="16131" max="16131" width="12.140625" style="1" bestFit="1" customWidth="1"/>
    <col min="16132" max="16132" width="22.5703125" style="1" customWidth="1"/>
    <col min="16133" max="16133" width="23" style="1" customWidth="1"/>
    <col min="16134" max="16134" width="0" style="1" hidden="1" customWidth="1"/>
    <col min="16135" max="16143" width="20.7109375" style="1" customWidth="1"/>
    <col min="16144" max="16145" width="0" style="1" hidden="1" customWidth="1"/>
    <col min="16146" max="16384" width="11.42578125" style="1"/>
  </cols>
  <sheetData>
    <row r="2" spans="2:17" x14ac:dyDescent="0.25">
      <c r="B2" s="74" t="s">
        <v>60</v>
      </c>
      <c r="C2" s="74"/>
      <c r="D2" s="74"/>
      <c r="E2" s="74"/>
    </row>
    <row r="3" spans="2:17" x14ac:dyDescent="0.25">
      <c r="B3" s="27" t="s">
        <v>21</v>
      </c>
      <c r="C3" s="90">
        <v>90160</v>
      </c>
      <c r="D3" s="90"/>
      <c r="E3" s="90"/>
      <c r="P3" s="1" t="s">
        <v>22</v>
      </c>
      <c r="Q3" s="3">
        <v>1</v>
      </c>
    </row>
    <row r="4" spans="2:17" ht="185.25" customHeight="1" x14ac:dyDescent="0.25">
      <c r="B4" s="89" t="s">
        <v>153</v>
      </c>
      <c r="C4" s="89"/>
      <c r="D4" s="89"/>
      <c r="E4" s="89"/>
      <c r="P4" s="1" t="s">
        <v>23</v>
      </c>
      <c r="Q4" s="3">
        <v>2</v>
      </c>
    </row>
    <row r="5" spans="2:17" ht="19.5" customHeight="1" x14ac:dyDescent="0.25">
      <c r="B5" s="73" t="s">
        <v>24</v>
      </c>
      <c r="C5" s="91" t="s">
        <v>87</v>
      </c>
      <c r="D5" s="91"/>
      <c r="E5" s="91"/>
      <c r="P5" s="2" t="s">
        <v>25</v>
      </c>
      <c r="Q5" s="3">
        <v>3</v>
      </c>
    </row>
    <row r="6" spans="2:17" ht="18" customHeight="1" x14ac:dyDescent="0.25">
      <c r="B6" s="73"/>
      <c r="C6" s="91"/>
      <c r="D6" s="91"/>
      <c r="E6" s="91"/>
      <c r="P6" s="2" t="s">
        <v>26</v>
      </c>
      <c r="Q6" s="3">
        <v>1</v>
      </c>
    </row>
    <row r="7" spans="2:17" ht="18.75" customHeight="1" x14ac:dyDescent="0.25">
      <c r="B7" s="73"/>
      <c r="C7" s="91"/>
      <c r="D7" s="91"/>
      <c r="E7" s="91"/>
      <c r="P7" s="2" t="s">
        <v>27</v>
      </c>
      <c r="Q7" s="3">
        <v>2</v>
      </c>
    </row>
    <row r="8" spans="2:17" ht="16.5" thickBot="1" x14ac:dyDescent="0.3">
      <c r="B8" s="75" t="s">
        <v>28</v>
      </c>
      <c r="C8" s="75"/>
      <c r="D8" s="75"/>
      <c r="E8" s="22" t="s">
        <v>29</v>
      </c>
      <c r="P8" s="2" t="s">
        <v>30</v>
      </c>
      <c r="Q8" s="3">
        <v>3</v>
      </c>
    </row>
    <row r="9" spans="2:17" ht="17.25" thickTop="1" thickBot="1" x14ac:dyDescent="0.3">
      <c r="B9" s="73" t="s">
        <v>57</v>
      </c>
      <c r="C9" s="73"/>
      <c r="D9" s="73"/>
      <c r="E9" s="28" t="s">
        <v>22</v>
      </c>
      <c r="F9" s="4">
        <f>IF(E9=P3,Q3,IF(E9=P4,Q4,IF(E9=P5,Q5,"N/A")))</f>
        <v>1</v>
      </c>
      <c r="P9" s="2" t="s">
        <v>31</v>
      </c>
      <c r="Q9" s="3">
        <v>1</v>
      </c>
    </row>
    <row r="10" spans="2:17" ht="17.25" thickTop="1" thickBot="1" x14ac:dyDescent="0.3">
      <c r="B10" s="73" t="s">
        <v>32</v>
      </c>
      <c r="C10" s="73"/>
      <c r="D10" s="73"/>
      <c r="E10" s="28" t="s">
        <v>30</v>
      </c>
      <c r="F10" s="4">
        <f>IF(E10=P6,Q6,IF(E10=P7,Q7,IF(E10=P8,Q8,"N/A")))</f>
        <v>3</v>
      </c>
      <c r="P10" s="2" t="s">
        <v>33</v>
      </c>
      <c r="Q10" s="3">
        <v>2</v>
      </c>
    </row>
    <row r="11" spans="2:17" ht="17.25" thickTop="1" thickBot="1" x14ac:dyDescent="0.3">
      <c r="B11" s="73" t="s">
        <v>84</v>
      </c>
      <c r="C11" s="73"/>
      <c r="D11" s="73"/>
      <c r="E11" s="28" t="s">
        <v>34</v>
      </c>
      <c r="F11" s="4">
        <f>IF(E11=P9,Q9,IF(E11=P10,Q10,IF(E11=P11,Q11,"N/A")))</f>
        <v>3</v>
      </c>
      <c r="P11" s="2" t="s">
        <v>34</v>
      </c>
      <c r="Q11" s="3">
        <v>3</v>
      </c>
    </row>
    <row r="12" spans="2:17" ht="17.25" thickTop="1" thickBot="1" x14ac:dyDescent="0.3">
      <c r="B12" s="73" t="s">
        <v>35</v>
      </c>
      <c r="C12" s="73"/>
      <c r="D12" s="73"/>
      <c r="E12" s="28" t="s">
        <v>38</v>
      </c>
      <c r="F12" s="4">
        <f>IF(E12=P12,Q12,IF(E12=P13,Q13,IF(E12=P14,Q14,"N/A")))</f>
        <v>2</v>
      </c>
      <c r="P12" s="2" t="s">
        <v>36</v>
      </c>
      <c r="Q12" s="3">
        <v>1</v>
      </c>
    </row>
    <row r="13" spans="2:17" ht="17.25" thickTop="1" thickBot="1" x14ac:dyDescent="0.3">
      <c r="B13" s="73" t="s">
        <v>37</v>
      </c>
      <c r="C13" s="73"/>
      <c r="D13" s="73"/>
      <c r="E13" s="93" t="s">
        <v>44</v>
      </c>
      <c r="F13" s="4">
        <f>IF(E13=P15,Q15,IF(E13=P16,Q16,"N/A"))</f>
        <v>3</v>
      </c>
      <c r="P13" s="2" t="s">
        <v>38</v>
      </c>
      <c r="Q13" s="3">
        <v>2</v>
      </c>
    </row>
    <row r="14" spans="2:17" ht="17.25" thickTop="1" thickBot="1" x14ac:dyDescent="0.3">
      <c r="B14" s="73" t="s">
        <v>39</v>
      </c>
      <c r="C14" s="73"/>
      <c r="D14" s="73"/>
      <c r="E14" s="28" t="s">
        <v>47</v>
      </c>
      <c r="F14" s="4">
        <f>IF(E14=P17,Q17,IF(E14=P18,Q18,IF(E14=P19,Q19,IF(E14=P20,Q20,"N/A"))))</f>
        <v>2</v>
      </c>
      <c r="P14" s="2" t="s">
        <v>40</v>
      </c>
      <c r="Q14" s="3">
        <v>3</v>
      </c>
    </row>
    <row r="15" spans="2:17" ht="17.25" thickTop="1" thickBot="1" x14ac:dyDescent="0.3">
      <c r="B15" s="73" t="s">
        <v>41</v>
      </c>
      <c r="C15" s="73"/>
      <c r="D15" s="73"/>
      <c r="E15" s="28" t="s">
        <v>50</v>
      </c>
      <c r="F15" s="4">
        <f>IF(E15=P21,Q21,IF(E15=P22,Q22,IF(E15=P23,Q23,IF(E15=P24,Q24,"N/A"))))</f>
        <v>2</v>
      </c>
      <c r="P15" s="2" t="s">
        <v>42</v>
      </c>
      <c r="Q15" s="3">
        <v>1</v>
      </c>
    </row>
    <row r="16" spans="2:17" ht="17.25" thickTop="1" thickBot="1" x14ac:dyDescent="0.3">
      <c r="B16" s="73" t="s">
        <v>43</v>
      </c>
      <c r="C16" s="73"/>
      <c r="D16" s="73"/>
      <c r="E16" s="28" t="s">
        <v>34</v>
      </c>
      <c r="F16" s="4">
        <f>IF(E16=P9,Q9,IF(E16=P10,Q10,IF(E16=P11,Q11,"N/A")))</f>
        <v>3</v>
      </c>
      <c r="P16" s="2" t="s">
        <v>44</v>
      </c>
      <c r="Q16" s="3">
        <v>3</v>
      </c>
    </row>
    <row r="17" spans="2:17" ht="17.25" thickTop="1" thickBot="1" x14ac:dyDescent="0.3">
      <c r="B17" s="73" t="s">
        <v>83</v>
      </c>
      <c r="C17" s="73"/>
      <c r="D17" s="73"/>
      <c r="E17" s="28" t="s">
        <v>50</v>
      </c>
      <c r="F17" s="4">
        <f>IF(E17=P24,Q24,IF(E17=P25,Q25,IF(E17=P26,Q26,"N/A")))</f>
        <v>2</v>
      </c>
      <c r="P17" s="2" t="s">
        <v>45</v>
      </c>
      <c r="Q17" s="3">
        <v>1</v>
      </c>
    </row>
    <row r="18" spans="2:17" ht="17.25" thickTop="1" thickBot="1" x14ac:dyDescent="0.3">
      <c r="B18" s="73" t="s">
        <v>46</v>
      </c>
      <c r="C18" s="73"/>
      <c r="D18" s="73"/>
      <c r="E18" s="28" t="s">
        <v>44</v>
      </c>
      <c r="F18" s="4">
        <f>IF(E18=P15,Q15,IF(E18=P16,Q16,"N/A"))</f>
        <v>3</v>
      </c>
      <c r="P18" s="2" t="s">
        <v>47</v>
      </c>
      <c r="Q18" s="3">
        <v>2</v>
      </c>
    </row>
    <row r="19" spans="2:17" ht="20.100000000000001" customHeight="1" thickTop="1" x14ac:dyDescent="0.25">
      <c r="P19" s="2" t="s">
        <v>48</v>
      </c>
      <c r="Q19" s="3">
        <v>3</v>
      </c>
    </row>
    <row r="20" spans="2:17" x14ac:dyDescent="0.25">
      <c r="B20" s="76" t="s">
        <v>49</v>
      </c>
      <c r="C20" s="76"/>
      <c r="D20" s="76"/>
      <c r="E20" s="21">
        <f>F20</f>
        <v>24</v>
      </c>
      <c r="F20" s="5">
        <f>SUM(F9:F18)</f>
        <v>24</v>
      </c>
      <c r="H20" s="1" t="str">
        <f>IF(E20&gt;=10,IF(E20&lt;=17,"ALTO",IF(E20&gt;=18,IF(E20&lt;=25,"MEDIO","BAJO"))))</f>
        <v>MEDIO</v>
      </c>
      <c r="P20" s="2" t="s">
        <v>40</v>
      </c>
      <c r="Q20" s="3">
        <v>4</v>
      </c>
    </row>
    <row r="21" spans="2:17" ht="7.5" customHeight="1" x14ac:dyDescent="0.25">
      <c r="P21" s="2" t="s">
        <v>50</v>
      </c>
      <c r="Q21" s="3">
        <v>2</v>
      </c>
    </row>
    <row r="22" spans="2:17" ht="20.100000000000001" customHeight="1" x14ac:dyDescent="0.25">
      <c r="B22" s="6" t="s">
        <v>26</v>
      </c>
      <c r="C22" s="7" t="s">
        <v>51</v>
      </c>
      <c r="P22" s="2" t="s">
        <v>52</v>
      </c>
      <c r="Q22" s="3">
        <v>3</v>
      </c>
    </row>
    <row r="23" spans="2:17" ht="20.100000000000001" customHeight="1" x14ac:dyDescent="0.25">
      <c r="B23" s="8" t="s">
        <v>27</v>
      </c>
      <c r="C23" s="9" t="s">
        <v>53</v>
      </c>
      <c r="P23" s="2" t="s">
        <v>54</v>
      </c>
      <c r="Q23" s="3">
        <v>1</v>
      </c>
    </row>
    <row r="24" spans="2:17" ht="20.100000000000001" customHeight="1" x14ac:dyDescent="0.25">
      <c r="B24" s="10" t="s">
        <v>30</v>
      </c>
      <c r="C24" s="11" t="s">
        <v>55</v>
      </c>
      <c r="P24" s="2" t="s">
        <v>40</v>
      </c>
      <c r="Q24" s="3">
        <v>3</v>
      </c>
    </row>
    <row r="25" spans="2:17" x14ac:dyDescent="0.25">
      <c r="P25" s="2" t="s">
        <v>50</v>
      </c>
      <c r="Q25" s="3">
        <v>2</v>
      </c>
    </row>
    <row r="26" spans="2:17" x14ac:dyDescent="0.25">
      <c r="P26" s="1" t="s">
        <v>56</v>
      </c>
      <c r="Q26" s="3">
        <v>1</v>
      </c>
    </row>
  </sheetData>
  <sheetProtection selectLockedCells="1"/>
  <mergeCells count="17">
    <mergeCell ref="B15:D15"/>
    <mergeCell ref="B16:D16"/>
    <mergeCell ref="B17:D17"/>
    <mergeCell ref="B18:D18"/>
    <mergeCell ref="B20:D20"/>
    <mergeCell ref="B14:D14"/>
    <mergeCell ref="B2:E2"/>
    <mergeCell ref="C3:E3"/>
    <mergeCell ref="B4:E4"/>
    <mergeCell ref="B5:B7"/>
    <mergeCell ref="C5:E7"/>
    <mergeCell ref="B8:D8"/>
    <mergeCell ref="B9:D9"/>
    <mergeCell ref="B10:D10"/>
    <mergeCell ref="B11:D11"/>
    <mergeCell ref="B12:D12"/>
    <mergeCell ref="B13:D13"/>
  </mergeCells>
  <conditionalFormatting sqref="E20">
    <cfRule type="cellIs" dxfId="2" priority="6" stopIfTrue="1" operator="between">
      <formula>26</formula>
      <formula>31</formula>
    </cfRule>
    <cfRule type="cellIs" dxfId="1" priority="7" stopIfTrue="1" operator="between">
      <formula>18</formula>
      <formula>25</formula>
    </cfRule>
    <cfRule type="cellIs" dxfId="0" priority="8" stopIfTrue="1" operator="between">
      <formula>10</formula>
      <formula>17</formula>
    </cfRule>
  </conditionalFormatting>
  <dataValidations count="8">
    <dataValidation type="list" allowBlank="1" showInputMessage="1" showErrorMessage="1" sqref="E17 JA17 SW17 ACS17 AMO17 AWK17 BGG17 BQC17 BZY17 CJU17 CTQ17 DDM17 DNI17 DXE17 EHA17 EQW17 FAS17 FKO17 FUK17 GEG17 GOC17 GXY17 HHU17 HRQ17 IBM17 ILI17 IVE17 JFA17 JOW17 JYS17 KIO17 KSK17 LCG17 LMC17 LVY17 MFU17 MPQ17 MZM17 NJI17 NTE17 ODA17 OMW17 OWS17 PGO17 PQK17 QAG17 QKC17 QTY17 RDU17 RNQ17 RXM17 SHI17 SRE17 TBA17 TKW17 TUS17 UEO17 UOK17 UYG17 VIC17 VRY17 WBU17 WLQ17 WVM17 E65512 JA65512 SW65512 ACS65512 AMO65512 AWK65512 BGG65512 BQC65512 BZY65512 CJU65512 CTQ65512 DDM65512 DNI65512 DXE65512 EHA65512 EQW65512 FAS65512 FKO65512 FUK65512 GEG65512 GOC65512 GXY65512 HHU65512 HRQ65512 IBM65512 ILI65512 IVE65512 JFA65512 JOW65512 JYS65512 KIO65512 KSK65512 LCG65512 LMC65512 LVY65512 MFU65512 MPQ65512 MZM65512 NJI65512 NTE65512 ODA65512 OMW65512 OWS65512 PGO65512 PQK65512 QAG65512 QKC65512 QTY65512 RDU65512 RNQ65512 RXM65512 SHI65512 SRE65512 TBA65512 TKW65512 TUS65512 UEO65512 UOK65512 UYG65512 VIC65512 VRY65512 WBU65512 WLQ65512 WVM65512 E131048 JA131048 SW131048 ACS131048 AMO131048 AWK131048 BGG131048 BQC131048 BZY131048 CJU131048 CTQ131048 DDM131048 DNI131048 DXE131048 EHA131048 EQW131048 FAS131048 FKO131048 FUK131048 GEG131048 GOC131048 GXY131048 HHU131048 HRQ131048 IBM131048 ILI131048 IVE131048 JFA131048 JOW131048 JYS131048 KIO131048 KSK131048 LCG131048 LMC131048 LVY131048 MFU131048 MPQ131048 MZM131048 NJI131048 NTE131048 ODA131048 OMW131048 OWS131048 PGO131048 PQK131048 QAG131048 QKC131048 QTY131048 RDU131048 RNQ131048 RXM131048 SHI131048 SRE131048 TBA131048 TKW131048 TUS131048 UEO131048 UOK131048 UYG131048 VIC131048 VRY131048 WBU131048 WLQ131048 WVM131048 E196584 JA196584 SW196584 ACS196584 AMO196584 AWK196584 BGG196584 BQC196584 BZY196584 CJU196584 CTQ196584 DDM196584 DNI196584 DXE196584 EHA196584 EQW196584 FAS196584 FKO196584 FUK196584 GEG196584 GOC196584 GXY196584 HHU196584 HRQ196584 IBM196584 ILI196584 IVE196584 JFA196584 JOW196584 JYS196584 KIO196584 KSK196584 LCG196584 LMC196584 LVY196584 MFU196584 MPQ196584 MZM196584 NJI196584 NTE196584 ODA196584 OMW196584 OWS196584 PGO196584 PQK196584 QAG196584 QKC196584 QTY196584 RDU196584 RNQ196584 RXM196584 SHI196584 SRE196584 TBA196584 TKW196584 TUS196584 UEO196584 UOK196584 UYG196584 VIC196584 VRY196584 WBU196584 WLQ196584 WVM196584 E262120 JA262120 SW262120 ACS262120 AMO262120 AWK262120 BGG262120 BQC262120 BZY262120 CJU262120 CTQ262120 DDM262120 DNI262120 DXE262120 EHA262120 EQW262120 FAS262120 FKO262120 FUK262120 GEG262120 GOC262120 GXY262120 HHU262120 HRQ262120 IBM262120 ILI262120 IVE262120 JFA262120 JOW262120 JYS262120 KIO262120 KSK262120 LCG262120 LMC262120 LVY262120 MFU262120 MPQ262120 MZM262120 NJI262120 NTE262120 ODA262120 OMW262120 OWS262120 PGO262120 PQK262120 QAG262120 QKC262120 QTY262120 RDU262120 RNQ262120 RXM262120 SHI262120 SRE262120 TBA262120 TKW262120 TUS262120 UEO262120 UOK262120 UYG262120 VIC262120 VRY262120 WBU262120 WLQ262120 WVM262120 E327656 JA327656 SW327656 ACS327656 AMO327656 AWK327656 BGG327656 BQC327656 BZY327656 CJU327656 CTQ327656 DDM327656 DNI327656 DXE327656 EHA327656 EQW327656 FAS327656 FKO327656 FUK327656 GEG327656 GOC327656 GXY327656 HHU327656 HRQ327656 IBM327656 ILI327656 IVE327656 JFA327656 JOW327656 JYS327656 KIO327656 KSK327656 LCG327656 LMC327656 LVY327656 MFU327656 MPQ327656 MZM327656 NJI327656 NTE327656 ODA327656 OMW327656 OWS327656 PGO327656 PQK327656 QAG327656 QKC327656 QTY327656 RDU327656 RNQ327656 RXM327656 SHI327656 SRE327656 TBA327656 TKW327656 TUS327656 UEO327656 UOK327656 UYG327656 VIC327656 VRY327656 WBU327656 WLQ327656 WVM327656 E393192 JA393192 SW393192 ACS393192 AMO393192 AWK393192 BGG393192 BQC393192 BZY393192 CJU393192 CTQ393192 DDM393192 DNI393192 DXE393192 EHA393192 EQW393192 FAS393192 FKO393192 FUK393192 GEG393192 GOC393192 GXY393192 HHU393192 HRQ393192 IBM393192 ILI393192 IVE393192 JFA393192 JOW393192 JYS393192 KIO393192 KSK393192 LCG393192 LMC393192 LVY393192 MFU393192 MPQ393192 MZM393192 NJI393192 NTE393192 ODA393192 OMW393192 OWS393192 PGO393192 PQK393192 QAG393192 QKC393192 QTY393192 RDU393192 RNQ393192 RXM393192 SHI393192 SRE393192 TBA393192 TKW393192 TUS393192 UEO393192 UOK393192 UYG393192 VIC393192 VRY393192 WBU393192 WLQ393192 WVM393192 E458728 JA458728 SW458728 ACS458728 AMO458728 AWK458728 BGG458728 BQC458728 BZY458728 CJU458728 CTQ458728 DDM458728 DNI458728 DXE458728 EHA458728 EQW458728 FAS458728 FKO458728 FUK458728 GEG458728 GOC458728 GXY458728 HHU458728 HRQ458728 IBM458728 ILI458728 IVE458728 JFA458728 JOW458728 JYS458728 KIO458728 KSK458728 LCG458728 LMC458728 LVY458728 MFU458728 MPQ458728 MZM458728 NJI458728 NTE458728 ODA458728 OMW458728 OWS458728 PGO458728 PQK458728 QAG458728 QKC458728 QTY458728 RDU458728 RNQ458728 RXM458728 SHI458728 SRE458728 TBA458728 TKW458728 TUS458728 UEO458728 UOK458728 UYG458728 VIC458728 VRY458728 WBU458728 WLQ458728 WVM458728 E524264 JA524264 SW524264 ACS524264 AMO524264 AWK524264 BGG524264 BQC524264 BZY524264 CJU524264 CTQ524264 DDM524264 DNI524264 DXE524264 EHA524264 EQW524264 FAS524264 FKO524264 FUK524264 GEG524264 GOC524264 GXY524264 HHU524264 HRQ524264 IBM524264 ILI524264 IVE524264 JFA524264 JOW524264 JYS524264 KIO524264 KSK524264 LCG524264 LMC524264 LVY524264 MFU524264 MPQ524264 MZM524264 NJI524264 NTE524264 ODA524264 OMW524264 OWS524264 PGO524264 PQK524264 QAG524264 QKC524264 QTY524264 RDU524264 RNQ524264 RXM524264 SHI524264 SRE524264 TBA524264 TKW524264 TUS524264 UEO524264 UOK524264 UYG524264 VIC524264 VRY524264 WBU524264 WLQ524264 WVM524264 E589800 JA589800 SW589800 ACS589800 AMO589800 AWK589800 BGG589800 BQC589800 BZY589800 CJU589800 CTQ589800 DDM589800 DNI589800 DXE589800 EHA589800 EQW589800 FAS589800 FKO589800 FUK589800 GEG589800 GOC589800 GXY589800 HHU589800 HRQ589800 IBM589800 ILI589800 IVE589800 JFA589800 JOW589800 JYS589800 KIO589800 KSK589800 LCG589800 LMC589800 LVY589800 MFU589800 MPQ589800 MZM589800 NJI589800 NTE589800 ODA589800 OMW589800 OWS589800 PGO589800 PQK589800 QAG589800 QKC589800 QTY589800 RDU589800 RNQ589800 RXM589800 SHI589800 SRE589800 TBA589800 TKW589800 TUS589800 UEO589800 UOK589800 UYG589800 VIC589800 VRY589800 WBU589800 WLQ589800 WVM589800 E655336 JA655336 SW655336 ACS655336 AMO655336 AWK655336 BGG655336 BQC655336 BZY655336 CJU655336 CTQ655336 DDM655336 DNI655336 DXE655336 EHA655336 EQW655336 FAS655336 FKO655336 FUK655336 GEG655336 GOC655336 GXY655336 HHU655336 HRQ655336 IBM655336 ILI655336 IVE655336 JFA655336 JOW655336 JYS655336 KIO655336 KSK655336 LCG655336 LMC655336 LVY655336 MFU655336 MPQ655336 MZM655336 NJI655336 NTE655336 ODA655336 OMW655336 OWS655336 PGO655336 PQK655336 QAG655336 QKC655336 QTY655336 RDU655336 RNQ655336 RXM655336 SHI655336 SRE655336 TBA655336 TKW655336 TUS655336 UEO655336 UOK655336 UYG655336 VIC655336 VRY655336 WBU655336 WLQ655336 WVM655336 E720872 JA720872 SW720872 ACS720872 AMO720872 AWK720872 BGG720872 BQC720872 BZY720872 CJU720872 CTQ720872 DDM720872 DNI720872 DXE720872 EHA720872 EQW720872 FAS720872 FKO720872 FUK720872 GEG720872 GOC720872 GXY720872 HHU720872 HRQ720872 IBM720872 ILI720872 IVE720872 JFA720872 JOW720872 JYS720872 KIO720872 KSK720872 LCG720872 LMC720872 LVY720872 MFU720872 MPQ720872 MZM720872 NJI720872 NTE720872 ODA720872 OMW720872 OWS720872 PGO720872 PQK720872 QAG720872 QKC720872 QTY720872 RDU720872 RNQ720872 RXM720872 SHI720872 SRE720872 TBA720872 TKW720872 TUS720872 UEO720872 UOK720872 UYG720872 VIC720872 VRY720872 WBU720872 WLQ720872 WVM720872 E786408 JA786408 SW786408 ACS786408 AMO786408 AWK786408 BGG786408 BQC786408 BZY786408 CJU786408 CTQ786408 DDM786408 DNI786408 DXE786408 EHA786408 EQW786408 FAS786408 FKO786408 FUK786408 GEG786408 GOC786408 GXY786408 HHU786408 HRQ786408 IBM786408 ILI786408 IVE786408 JFA786408 JOW786408 JYS786408 KIO786408 KSK786408 LCG786408 LMC786408 LVY786408 MFU786408 MPQ786408 MZM786408 NJI786408 NTE786408 ODA786408 OMW786408 OWS786408 PGO786408 PQK786408 QAG786408 QKC786408 QTY786408 RDU786408 RNQ786408 RXM786408 SHI786408 SRE786408 TBA786408 TKW786408 TUS786408 UEO786408 UOK786408 UYG786408 VIC786408 VRY786408 WBU786408 WLQ786408 WVM786408 E851944 JA851944 SW851944 ACS851944 AMO851944 AWK851944 BGG851944 BQC851944 BZY851944 CJU851944 CTQ851944 DDM851944 DNI851944 DXE851944 EHA851944 EQW851944 FAS851944 FKO851944 FUK851944 GEG851944 GOC851944 GXY851944 HHU851944 HRQ851944 IBM851944 ILI851944 IVE851944 JFA851944 JOW851944 JYS851944 KIO851944 KSK851944 LCG851944 LMC851944 LVY851944 MFU851944 MPQ851944 MZM851944 NJI851944 NTE851944 ODA851944 OMW851944 OWS851944 PGO851944 PQK851944 QAG851944 QKC851944 QTY851944 RDU851944 RNQ851944 RXM851944 SHI851944 SRE851944 TBA851944 TKW851944 TUS851944 UEO851944 UOK851944 UYG851944 VIC851944 VRY851944 WBU851944 WLQ851944 WVM851944 E917480 JA917480 SW917480 ACS917480 AMO917480 AWK917480 BGG917480 BQC917480 BZY917480 CJU917480 CTQ917480 DDM917480 DNI917480 DXE917480 EHA917480 EQW917480 FAS917480 FKO917480 FUK917480 GEG917480 GOC917480 GXY917480 HHU917480 HRQ917480 IBM917480 ILI917480 IVE917480 JFA917480 JOW917480 JYS917480 KIO917480 KSK917480 LCG917480 LMC917480 LVY917480 MFU917480 MPQ917480 MZM917480 NJI917480 NTE917480 ODA917480 OMW917480 OWS917480 PGO917480 PQK917480 QAG917480 QKC917480 QTY917480 RDU917480 RNQ917480 RXM917480 SHI917480 SRE917480 TBA917480 TKW917480 TUS917480 UEO917480 UOK917480 UYG917480 VIC917480 VRY917480 WBU917480 WLQ917480 WVM917480 E983016 JA983016 SW983016 ACS983016 AMO983016 AWK983016 BGG983016 BQC983016 BZY983016 CJU983016 CTQ983016 DDM983016 DNI983016 DXE983016 EHA983016 EQW983016 FAS983016 FKO983016 FUK983016 GEG983016 GOC983016 GXY983016 HHU983016 HRQ983016 IBM983016 ILI983016 IVE983016 JFA983016 JOW983016 JYS983016 KIO983016 KSK983016 LCG983016 LMC983016 LVY983016 MFU983016 MPQ983016 MZM983016 NJI983016 NTE983016 ODA983016 OMW983016 OWS983016 PGO983016 PQK983016 QAG983016 QKC983016 QTY983016 RDU983016 RNQ983016 RXM983016 SHI983016 SRE983016 TBA983016 TKW983016 TUS983016 UEO983016 UOK983016 UYG983016 VIC983016 VRY983016 WBU983016 WLQ983016 WVM983016" xr:uid="{00000000-0002-0000-0100-000000000000}">
      <formula1>$P$24:$P$26</formula1>
    </dataValidation>
    <dataValidation type="list" allowBlank="1" showInputMessage="1" showErrorMessage="1" sqref="E15 JA15 SW15 ACS15 AMO15 AWK15 BGG15 BQC15 BZY15 CJU15 CTQ15 DDM15 DNI15 DXE15 EHA15 EQW15 FAS15 FKO15 FUK15 GEG15 GOC15 GXY15 HHU15 HRQ15 IBM15 ILI15 IVE15 JFA15 JOW15 JYS15 KIO15 KSK15 LCG15 LMC15 LVY15 MFU15 MPQ15 MZM15 NJI15 NTE15 ODA15 OMW15 OWS15 PGO15 PQK15 QAG15 QKC15 QTY15 RDU15 RNQ15 RXM15 SHI15 SRE15 TBA15 TKW15 TUS15 UEO15 UOK15 UYG15 VIC15 VRY15 WBU15 WLQ15 WVM15 E65510 JA65510 SW65510 ACS65510 AMO65510 AWK65510 BGG65510 BQC65510 BZY65510 CJU65510 CTQ65510 DDM65510 DNI65510 DXE65510 EHA65510 EQW65510 FAS65510 FKO65510 FUK65510 GEG65510 GOC65510 GXY65510 HHU65510 HRQ65510 IBM65510 ILI65510 IVE65510 JFA65510 JOW65510 JYS65510 KIO65510 KSK65510 LCG65510 LMC65510 LVY65510 MFU65510 MPQ65510 MZM65510 NJI65510 NTE65510 ODA65510 OMW65510 OWS65510 PGO65510 PQK65510 QAG65510 QKC65510 QTY65510 RDU65510 RNQ65510 RXM65510 SHI65510 SRE65510 TBA65510 TKW65510 TUS65510 UEO65510 UOK65510 UYG65510 VIC65510 VRY65510 WBU65510 WLQ65510 WVM65510 E131046 JA131046 SW131046 ACS131046 AMO131046 AWK131046 BGG131046 BQC131046 BZY131046 CJU131046 CTQ131046 DDM131046 DNI131046 DXE131046 EHA131046 EQW131046 FAS131046 FKO131046 FUK131046 GEG131046 GOC131046 GXY131046 HHU131046 HRQ131046 IBM131046 ILI131046 IVE131046 JFA131046 JOW131046 JYS131046 KIO131046 KSK131046 LCG131046 LMC131046 LVY131046 MFU131046 MPQ131046 MZM131046 NJI131046 NTE131046 ODA131046 OMW131046 OWS131046 PGO131046 PQK131046 QAG131046 QKC131046 QTY131046 RDU131046 RNQ131046 RXM131046 SHI131046 SRE131046 TBA131046 TKW131046 TUS131046 UEO131046 UOK131046 UYG131046 VIC131046 VRY131046 WBU131046 WLQ131046 WVM131046 E196582 JA196582 SW196582 ACS196582 AMO196582 AWK196582 BGG196582 BQC196582 BZY196582 CJU196582 CTQ196582 DDM196582 DNI196582 DXE196582 EHA196582 EQW196582 FAS196582 FKO196582 FUK196582 GEG196582 GOC196582 GXY196582 HHU196582 HRQ196582 IBM196582 ILI196582 IVE196582 JFA196582 JOW196582 JYS196582 KIO196582 KSK196582 LCG196582 LMC196582 LVY196582 MFU196582 MPQ196582 MZM196582 NJI196582 NTE196582 ODA196582 OMW196582 OWS196582 PGO196582 PQK196582 QAG196582 QKC196582 QTY196582 RDU196582 RNQ196582 RXM196582 SHI196582 SRE196582 TBA196582 TKW196582 TUS196582 UEO196582 UOK196582 UYG196582 VIC196582 VRY196582 WBU196582 WLQ196582 WVM196582 E262118 JA262118 SW262118 ACS262118 AMO262118 AWK262118 BGG262118 BQC262118 BZY262118 CJU262118 CTQ262118 DDM262118 DNI262118 DXE262118 EHA262118 EQW262118 FAS262118 FKO262118 FUK262118 GEG262118 GOC262118 GXY262118 HHU262118 HRQ262118 IBM262118 ILI262118 IVE262118 JFA262118 JOW262118 JYS262118 KIO262118 KSK262118 LCG262118 LMC262118 LVY262118 MFU262118 MPQ262118 MZM262118 NJI262118 NTE262118 ODA262118 OMW262118 OWS262118 PGO262118 PQK262118 QAG262118 QKC262118 QTY262118 RDU262118 RNQ262118 RXM262118 SHI262118 SRE262118 TBA262118 TKW262118 TUS262118 UEO262118 UOK262118 UYG262118 VIC262118 VRY262118 WBU262118 WLQ262118 WVM262118 E327654 JA327654 SW327654 ACS327654 AMO327654 AWK327654 BGG327654 BQC327654 BZY327654 CJU327654 CTQ327654 DDM327654 DNI327654 DXE327654 EHA327654 EQW327654 FAS327654 FKO327654 FUK327654 GEG327654 GOC327654 GXY327654 HHU327654 HRQ327654 IBM327654 ILI327654 IVE327654 JFA327654 JOW327654 JYS327654 KIO327654 KSK327654 LCG327654 LMC327654 LVY327654 MFU327654 MPQ327654 MZM327654 NJI327654 NTE327654 ODA327654 OMW327654 OWS327654 PGO327654 PQK327654 QAG327654 QKC327654 QTY327654 RDU327654 RNQ327654 RXM327654 SHI327654 SRE327654 TBA327654 TKW327654 TUS327654 UEO327654 UOK327654 UYG327654 VIC327654 VRY327654 WBU327654 WLQ327654 WVM327654 E393190 JA393190 SW393190 ACS393190 AMO393190 AWK393190 BGG393190 BQC393190 BZY393190 CJU393190 CTQ393190 DDM393190 DNI393190 DXE393190 EHA393190 EQW393190 FAS393190 FKO393190 FUK393190 GEG393190 GOC393190 GXY393190 HHU393190 HRQ393190 IBM393190 ILI393190 IVE393190 JFA393190 JOW393190 JYS393190 KIO393190 KSK393190 LCG393190 LMC393190 LVY393190 MFU393190 MPQ393190 MZM393190 NJI393190 NTE393190 ODA393190 OMW393190 OWS393190 PGO393190 PQK393190 QAG393190 QKC393190 QTY393190 RDU393190 RNQ393190 RXM393190 SHI393190 SRE393190 TBA393190 TKW393190 TUS393190 UEO393190 UOK393190 UYG393190 VIC393190 VRY393190 WBU393190 WLQ393190 WVM393190 E458726 JA458726 SW458726 ACS458726 AMO458726 AWK458726 BGG458726 BQC458726 BZY458726 CJU458726 CTQ458726 DDM458726 DNI458726 DXE458726 EHA458726 EQW458726 FAS458726 FKO458726 FUK458726 GEG458726 GOC458726 GXY458726 HHU458726 HRQ458726 IBM458726 ILI458726 IVE458726 JFA458726 JOW458726 JYS458726 KIO458726 KSK458726 LCG458726 LMC458726 LVY458726 MFU458726 MPQ458726 MZM458726 NJI458726 NTE458726 ODA458726 OMW458726 OWS458726 PGO458726 PQK458726 QAG458726 QKC458726 QTY458726 RDU458726 RNQ458726 RXM458726 SHI458726 SRE458726 TBA458726 TKW458726 TUS458726 UEO458726 UOK458726 UYG458726 VIC458726 VRY458726 WBU458726 WLQ458726 WVM458726 E524262 JA524262 SW524262 ACS524262 AMO524262 AWK524262 BGG524262 BQC524262 BZY524262 CJU524262 CTQ524262 DDM524262 DNI524262 DXE524262 EHA524262 EQW524262 FAS524262 FKO524262 FUK524262 GEG524262 GOC524262 GXY524262 HHU524262 HRQ524262 IBM524262 ILI524262 IVE524262 JFA524262 JOW524262 JYS524262 KIO524262 KSK524262 LCG524262 LMC524262 LVY524262 MFU524262 MPQ524262 MZM524262 NJI524262 NTE524262 ODA524262 OMW524262 OWS524262 PGO524262 PQK524262 QAG524262 QKC524262 QTY524262 RDU524262 RNQ524262 RXM524262 SHI524262 SRE524262 TBA524262 TKW524262 TUS524262 UEO524262 UOK524262 UYG524262 VIC524262 VRY524262 WBU524262 WLQ524262 WVM524262 E589798 JA589798 SW589798 ACS589798 AMO589798 AWK589798 BGG589798 BQC589798 BZY589798 CJU589798 CTQ589798 DDM589798 DNI589798 DXE589798 EHA589798 EQW589798 FAS589798 FKO589798 FUK589798 GEG589798 GOC589798 GXY589798 HHU589798 HRQ589798 IBM589798 ILI589798 IVE589798 JFA589798 JOW589798 JYS589798 KIO589798 KSK589798 LCG589798 LMC589798 LVY589798 MFU589798 MPQ589798 MZM589798 NJI589798 NTE589798 ODA589798 OMW589798 OWS589798 PGO589798 PQK589798 QAG589798 QKC589798 QTY589798 RDU589798 RNQ589798 RXM589798 SHI589798 SRE589798 TBA589798 TKW589798 TUS589798 UEO589798 UOK589798 UYG589798 VIC589798 VRY589798 WBU589798 WLQ589798 WVM589798 E655334 JA655334 SW655334 ACS655334 AMO655334 AWK655334 BGG655334 BQC655334 BZY655334 CJU655334 CTQ655334 DDM655334 DNI655334 DXE655334 EHA655334 EQW655334 FAS655334 FKO655334 FUK655334 GEG655334 GOC655334 GXY655334 HHU655334 HRQ655334 IBM655334 ILI655334 IVE655334 JFA655334 JOW655334 JYS655334 KIO655334 KSK655334 LCG655334 LMC655334 LVY655334 MFU655334 MPQ655334 MZM655334 NJI655334 NTE655334 ODA655334 OMW655334 OWS655334 PGO655334 PQK655334 QAG655334 QKC655334 QTY655334 RDU655334 RNQ655334 RXM655334 SHI655334 SRE655334 TBA655334 TKW655334 TUS655334 UEO655334 UOK655334 UYG655334 VIC655334 VRY655334 WBU655334 WLQ655334 WVM655334 E720870 JA720870 SW720870 ACS720870 AMO720870 AWK720870 BGG720870 BQC720870 BZY720870 CJU720870 CTQ720870 DDM720870 DNI720870 DXE720870 EHA720870 EQW720870 FAS720870 FKO720870 FUK720870 GEG720870 GOC720870 GXY720870 HHU720870 HRQ720870 IBM720870 ILI720870 IVE720870 JFA720870 JOW720870 JYS720870 KIO720870 KSK720870 LCG720870 LMC720870 LVY720870 MFU720870 MPQ720870 MZM720870 NJI720870 NTE720870 ODA720870 OMW720870 OWS720870 PGO720870 PQK720870 QAG720870 QKC720870 QTY720870 RDU720870 RNQ720870 RXM720870 SHI720870 SRE720870 TBA720870 TKW720870 TUS720870 UEO720870 UOK720870 UYG720870 VIC720870 VRY720870 WBU720870 WLQ720870 WVM720870 E786406 JA786406 SW786406 ACS786406 AMO786406 AWK786406 BGG786406 BQC786406 BZY786406 CJU786406 CTQ786406 DDM786406 DNI786406 DXE786406 EHA786406 EQW786406 FAS786406 FKO786406 FUK786406 GEG786406 GOC786406 GXY786406 HHU786406 HRQ786406 IBM786406 ILI786406 IVE786406 JFA786406 JOW786406 JYS786406 KIO786406 KSK786406 LCG786406 LMC786406 LVY786406 MFU786406 MPQ786406 MZM786406 NJI786406 NTE786406 ODA786406 OMW786406 OWS786406 PGO786406 PQK786406 QAG786406 QKC786406 QTY786406 RDU786406 RNQ786406 RXM786406 SHI786406 SRE786406 TBA786406 TKW786406 TUS786406 UEO786406 UOK786406 UYG786406 VIC786406 VRY786406 WBU786406 WLQ786406 WVM786406 E851942 JA851942 SW851942 ACS851942 AMO851942 AWK851942 BGG851942 BQC851942 BZY851942 CJU851942 CTQ851942 DDM851942 DNI851942 DXE851942 EHA851942 EQW851942 FAS851942 FKO851942 FUK851942 GEG851942 GOC851942 GXY851942 HHU851942 HRQ851942 IBM851942 ILI851942 IVE851942 JFA851942 JOW851942 JYS851942 KIO851942 KSK851942 LCG851942 LMC851942 LVY851942 MFU851942 MPQ851942 MZM851942 NJI851942 NTE851942 ODA851942 OMW851942 OWS851942 PGO851942 PQK851942 QAG851942 QKC851942 QTY851942 RDU851942 RNQ851942 RXM851942 SHI851942 SRE851942 TBA851942 TKW851942 TUS851942 UEO851942 UOK851942 UYG851942 VIC851942 VRY851942 WBU851942 WLQ851942 WVM851942 E917478 JA917478 SW917478 ACS917478 AMO917478 AWK917478 BGG917478 BQC917478 BZY917478 CJU917478 CTQ917478 DDM917478 DNI917478 DXE917478 EHA917478 EQW917478 FAS917478 FKO917478 FUK917478 GEG917478 GOC917478 GXY917478 HHU917478 HRQ917478 IBM917478 ILI917478 IVE917478 JFA917478 JOW917478 JYS917478 KIO917478 KSK917478 LCG917478 LMC917478 LVY917478 MFU917478 MPQ917478 MZM917478 NJI917478 NTE917478 ODA917478 OMW917478 OWS917478 PGO917478 PQK917478 QAG917478 QKC917478 QTY917478 RDU917478 RNQ917478 RXM917478 SHI917478 SRE917478 TBA917478 TKW917478 TUS917478 UEO917478 UOK917478 UYG917478 VIC917478 VRY917478 WBU917478 WLQ917478 WVM917478 E983014 JA983014 SW983014 ACS983014 AMO983014 AWK983014 BGG983014 BQC983014 BZY983014 CJU983014 CTQ983014 DDM983014 DNI983014 DXE983014 EHA983014 EQW983014 FAS983014 FKO983014 FUK983014 GEG983014 GOC983014 GXY983014 HHU983014 HRQ983014 IBM983014 ILI983014 IVE983014 JFA983014 JOW983014 JYS983014 KIO983014 KSK983014 LCG983014 LMC983014 LVY983014 MFU983014 MPQ983014 MZM983014 NJI983014 NTE983014 ODA983014 OMW983014 OWS983014 PGO983014 PQK983014 QAG983014 QKC983014 QTY983014 RDU983014 RNQ983014 RXM983014 SHI983014 SRE983014 TBA983014 TKW983014 TUS983014 UEO983014 UOK983014 UYG983014 VIC983014 VRY983014 WBU983014 WLQ983014 WVM983014" xr:uid="{00000000-0002-0000-0100-000001000000}">
      <formula1>$P$20:$P$23</formula1>
    </dataValidation>
    <dataValidation type="list" allowBlank="1" showInputMessage="1" showErrorMessage="1" sqref="E14 JA14 SW14 ACS14 AMO14 AWK14 BGG14 BQC14 BZY14 CJU14 CTQ14 DDM14 DNI14 DXE14 EHA14 EQW14 FAS14 FKO14 FUK14 GEG14 GOC14 GXY14 HHU14 HRQ14 IBM14 ILI14 IVE14 JFA14 JOW14 JYS14 KIO14 KSK14 LCG14 LMC14 LVY14 MFU14 MPQ14 MZM14 NJI14 NTE14 ODA14 OMW14 OWS14 PGO14 PQK14 QAG14 QKC14 QTY14 RDU14 RNQ14 RXM14 SHI14 SRE14 TBA14 TKW14 TUS14 UEO14 UOK14 UYG14 VIC14 VRY14 WBU14 WLQ14 WVM14 E65509 JA65509 SW65509 ACS65509 AMO65509 AWK65509 BGG65509 BQC65509 BZY65509 CJU65509 CTQ65509 DDM65509 DNI65509 DXE65509 EHA65509 EQW65509 FAS65509 FKO65509 FUK65509 GEG65509 GOC65509 GXY65509 HHU65509 HRQ65509 IBM65509 ILI65509 IVE65509 JFA65509 JOW65509 JYS65509 KIO65509 KSK65509 LCG65509 LMC65509 LVY65509 MFU65509 MPQ65509 MZM65509 NJI65509 NTE65509 ODA65509 OMW65509 OWS65509 PGO65509 PQK65509 QAG65509 QKC65509 QTY65509 RDU65509 RNQ65509 RXM65509 SHI65509 SRE65509 TBA65509 TKW65509 TUS65509 UEO65509 UOK65509 UYG65509 VIC65509 VRY65509 WBU65509 WLQ65509 WVM65509 E131045 JA131045 SW131045 ACS131045 AMO131045 AWK131045 BGG131045 BQC131045 BZY131045 CJU131045 CTQ131045 DDM131045 DNI131045 DXE131045 EHA131045 EQW131045 FAS131045 FKO131045 FUK131045 GEG131045 GOC131045 GXY131045 HHU131045 HRQ131045 IBM131045 ILI131045 IVE131045 JFA131045 JOW131045 JYS131045 KIO131045 KSK131045 LCG131045 LMC131045 LVY131045 MFU131045 MPQ131045 MZM131045 NJI131045 NTE131045 ODA131045 OMW131045 OWS131045 PGO131045 PQK131045 QAG131045 QKC131045 QTY131045 RDU131045 RNQ131045 RXM131045 SHI131045 SRE131045 TBA131045 TKW131045 TUS131045 UEO131045 UOK131045 UYG131045 VIC131045 VRY131045 WBU131045 WLQ131045 WVM131045 E196581 JA196581 SW196581 ACS196581 AMO196581 AWK196581 BGG196581 BQC196581 BZY196581 CJU196581 CTQ196581 DDM196581 DNI196581 DXE196581 EHA196581 EQW196581 FAS196581 FKO196581 FUK196581 GEG196581 GOC196581 GXY196581 HHU196581 HRQ196581 IBM196581 ILI196581 IVE196581 JFA196581 JOW196581 JYS196581 KIO196581 KSK196581 LCG196581 LMC196581 LVY196581 MFU196581 MPQ196581 MZM196581 NJI196581 NTE196581 ODA196581 OMW196581 OWS196581 PGO196581 PQK196581 QAG196581 QKC196581 QTY196581 RDU196581 RNQ196581 RXM196581 SHI196581 SRE196581 TBA196581 TKW196581 TUS196581 UEO196581 UOK196581 UYG196581 VIC196581 VRY196581 WBU196581 WLQ196581 WVM196581 E262117 JA262117 SW262117 ACS262117 AMO262117 AWK262117 BGG262117 BQC262117 BZY262117 CJU262117 CTQ262117 DDM262117 DNI262117 DXE262117 EHA262117 EQW262117 FAS262117 FKO262117 FUK262117 GEG262117 GOC262117 GXY262117 HHU262117 HRQ262117 IBM262117 ILI262117 IVE262117 JFA262117 JOW262117 JYS262117 KIO262117 KSK262117 LCG262117 LMC262117 LVY262117 MFU262117 MPQ262117 MZM262117 NJI262117 NTE262117 ODA262117 OMW262117 OWS262117 PGO262117 PQK262117 QAG262117 QKC262117 QTY262117 RDU262117 RNQ262117 RXM262117 SHI262117 SRE262117 TBA262117 TKW262117 TUS262117 UEO262117 UOK262117 UYG262117 VIC262117 VRY262117 WBU262117 WLQ262117 WVM262117 E327653 JA327653 SW327653 ACS327653 AMO327653 AWK327653 BGG327653 BQC327653 BZY327653 CJU327653 CTQ327653 DDM327653 DNI327653 DXE327653 EHA327653 EQW327653 FAS327653 FKO327653 FUK327653 GEG327653 GOC327653 GXY327653 HHU327653 HRQ327653 IBM327653 ILI327653 IVE327653 JFA327653 JOW327653 JYS327653 KIO327653 KSK327653 LCG327653 LMC327653 LVY327653 MFU327653 MPQ327653 MZM327653 NJI327653 NTE327653 ODA327653 OMW327653 OWS327653 PGO327653 PQK327653 QAG327653 QKC327653 QTY327653 RDU327653 RNQ327653 RXM327653 SHI327653 SRE327653 TBA327653 TKW327653 TUS327653 UEO327653 UOK327653 UYG327653 VIC327653 VRY327653 WBU327653 WLQ327653 WVM327653 E393189 JA393189 SW393189 ACS393189 AMO393189 AWK393189 BGG393189 BQC393189 BZY393189 CJU393189 CTQ393189 DDM393189 DNI393189 DXE393189 EHA393189 EQW393189 FAS393189 FKO393189 FUK393189 GEG393189 GOC393189 GXY393189 HHU393189 HRQ393189 IBM393189 ILI393189 IVE393189 JFA393189 JOW393189 JYS393189 KIO393189 KSK393189 LCG393189 LMC393189 LVY393189 MFU393189 MPQ393189 MZM393189 NJI393189 NTE393189 ODA393189 OMW393189 OWS393189 PGO393189 PQK393189 QAG393189 QKC393189 QTY393189 RDU393189 RNQ393189 RXM393189 SHI393189 SRE393189 TBA393189 TKW393189 TUS393189 UEO393189 UOK393189 UYG393189 VIC393189 VRY393189 WBU393189 WLQ393189 WVM393189 E458725 JA458725 SW458725 ACS458725 AMO458725 AWK458725 BGG458725 BQC458725 BZY458725 CJU458725 CTQ458725 DDM458725 DNI458725 DXE458725 EHA458725 EQW458725 FAS458725 FKO458725 FUK458725 GEG458725 GOC458725 GXY458725 HHU458725 HRQ458725 IBM458725 ILI458725 IVE458725 JFA458725 JOW458725 JYS458725 KIO458725 KSK458725 LCG458725 LMC458725 LVY458725 MFU458725 MPQ458725 MZM458725 NJI458725 NTE458725 ODA458725 OMW458725 OWS458725 PGO458725 PQK458725 QAG458725 QKC458725 QTY458725 RDU458725 RNQ458725 RXM458725 SHI458725 SRE458725 TBA458725 TKW458725 TUS458725 UEO458725 UOK458725 UYG458725 VIC458725 VRY458725 WBU458725 WLQ458725 WVM458725 E524261 JA524261 SW524261 ACS524261 AMO524261 AWK524261 BGG524261 BQC524261 BZY524261 CJU524261 CTQ524261 DDM524261 DNI524261 DXE524261 EHA524261 EQW524261 FAS524261 FKO524261 FUK524261 GEG524261 GOC524261 GXY524261 HHU524261 HRQ524261 IBM524261 ILI524261 IVE524261 JFA524261 JOW524261 JYS524261 KIO524261 KSK524261 LCG524261 LMC524261 LVY524261 MFU524261 MPQ524261 MZM524261 NJI524261 NTE524261 ODA524261 OMW524261 OWS524261 PGO524261 PQK524261 QAG524261 QKC524261 QTY524261 RDU524261 RNQ524261 RXM524261 SHI524261 SRE524261 TBA524261 TKW524261 TUS524261 UEO524261 UOK524261 UYG524261 VIC524261 VRY524261 WBU524261 WLQ524261 WVM524261 E589797 JA589797 SW589797 ACS589797 AMO589797 AWK589797 BGG589797 BQC589797 BZY589797 CJU589797 CTQ589797 DDM589797 DNI589797 DXE589797 EHA589797 EQW589797 FAS589797 FKO589797 FUK589797 GEG589797 GOC589797 GXY589797 HHU589797 HRQ589797 IBM589797 ILI589797 IVE589797 JFA589797 JOW589797 JYS589797 KIO589797 KSK589797 LCG589797 LMC589797 LVY589797 MFU589797 MPQ589797 MZM589797 NJI589797 NTE589797 ODA589797 OMW589797 OWS589797 PGO589797 PQK589797 QAG589797 QKC589797 QTY589797 RDU589797 RNQ589797 RXM589797 SHI589797 SRE589797 TBA589797 TKW589797 TUS589797 UEO589797 UOK589797 UYG589797 VIC589797 VRY589797 WBU589797 WLQ589797 WVM589797 E655333 JA655333 SW655333 ACS655333 AMO655333 AWK655333 BGG655333 BQC655333 BZY655333 CJU655333 CTQ655333 DDM655333 DNI655333 DXE655333 EHA655333 EQW655333 FAS655333 FKO655333 FUK655333 GEG655333 GOC655333 GXY655333 HHU655333 HRQ655333 IBM655333 ILI655333 IVE655333 JFA655333 JOW655333 JYS655333 KIO655333 KSK655333 LCG655333 LMC655333 LVY655333 MFU655333 MPQ655333 MZM655333 NJI655333 NTE655333 ODA655333 OMW655333 OWS655333 PGO655333 PQK655333 QAG655333 QKC655333 QTY655333 RDU655333 RNQ655333 RXM655333 SHI655333 SRE655333 TBA655333 TKW655333 TUS655333 UEO655333 UOK655333 UYG655333 VIC655333 VRY655333 WBU655333 WLQ655333 WVM655333 E720869 JA720869 SW720869 ACS720869 AMO720869 AWK720869 BGG720869 BQC720869 BZY720869 CJU720869 CTQ720869 DDM720869 DNI720869 DXE720869 EHA720869 EQW720869 FAS720869 FKO720869 FUK720869 GEG720869 GOC720869 GXY720869 HHU720869 HRQ720869 IBM720869 ILI720869 IVE720869 JFA720869 JOW720869 JYS720869 KIO720869 KSK720869 LCG720869 LMC720869 LVY720869 MFU720869 MPQ720869 MZM720869 NJI720869 NTE720869 ODA720869 OMW720869 OWS720869 PGO720869 PQK720869 QAG720869 QKC720869 QTY720869 RDU720869 RNQ720869 RXM720869 SHI720869 SRE720869 TBA720869 TKW720869 TUS720869 UEO720869 UOK720869 UYG720869 VIC720869 VRY720869 WBU720869 WLQ720869 WVM720869 E786405 JA786405 SW786405 ACS786405 AMO786405 AWK786405 BGG786405 BQC786405 BZY786405 CJU786405 CTQ786405 DDM786405 DNI786405 DXE786405 EHA786405 EQW786405 FAS786405 FKO786405 FUK786405 GEG786405 GOC786405 GXY786405 HHU786405 HRQ786405 IBM786405 ILI786405 IVE786405 JFA786405 JOW786405 JYS786405 KIO786405 KSK786405 LCG786405 LMC786405 LVY786405 MFU786405 MPQ786405 MZM786405 NJI786405 NTE786405 ODA786405 OMW786405 OWS786405 PGO786405 PQK786405 QAG786405 QKC786405 QTY786405 RDU786405 RNQ786405 RXM786405 SHI786405 SRE786405 TBA786405 TKW786405 TUS786405 UEO786405 UOK786405 UYG786405 VIC786405 VRY786405 WBU786405 WLQ786405 WVM786405 E851941 JA851941 SW851941 ACS851941 AMO851941 AWK851941 BGG851941 BQC851941 BZY851941 CJU851941 CTQ851941 DDM851941 DNI851941 DXE851941 EHA851941 EQW851941 FAS851941 FKO851941 FUK851941 GEG851941 GOC851941 GXY851941 HHU851941 HRQ851941 IBM851941 ILI851941 IVE851941 JFA851941 JOW851941 JYS851941 KIO851941 KSK851941 LCG851941 LMC851941 LVY851941 MFU851941 MPQ851941 MZM851941 NJI851941 NTE851941 ODA851941 OMW851941 OWS851941 PGO851941 PQK851941 QAG851941 QKC851941 QTY851941 RDU851941 RNQ851941 RXM851941 SHI851941 SRE851941 TBA851941 TKW851941 TUS851941 UEO851941 UOK851941 UYG851941 VIC851941 VRY851941 WBU851941 WLQ851941 WVM851941 E917477 JA917477 SW917477 ACS917477 AMO917477 AWK917477 BGG917477 BQC917477 BZY917477 CJU917477 CTQ917477 DDM917477 DNI917477 DXE917477 EHA917477 EQW917477 FAS917477 FKO917477 FUK917477 GEG917477 GOC917477 GXY917477 HHU917477 HRQ917477 IBM917477 ILI917477 IVE917477 JFA917477 JOW917477 JYS917477 KIO917477 KSK917477 LCG917477 LMC917477 LVY917477 MFU917477 MPQ917477 MZM917477 NJI917477 NTE917477 ODA917477 OMW917477 OWS917477 PGO917477 PQK917477 QAG917477 QKC917477 QTY917477 RDU917477 RNQ917477 RXM917477 SHI917477 SRE917477 TBA917477 TKW917477 TUS917477 UEO917477 UOK917477 UYG917477 VIC917477 VRY917477 WBU917477 WLQ917477 WVM917477 E983013 JA983013 SW983013 ACS983013 AMO983013 AWK983013 BGG983013 BQC983013 BZY983013 CJU983013 CTQ983013 DDM983013 DNI983013 DXE983013 EHA983013 EQW983013 FAS983013 FKO983013 FUK983013 GEG983013 GOC983013 GXY983013 HHU983013 HRQ983013 IBM983013 ILI983013 IVE983013 JFA983013 JOW983013 JYS983013 KIO983013 KSK983013 LCG983013 LMC983013 LVY983013 MFU983013 MPQ983013 MZM983013 NJI983013 NTE983013 ODA983013 OMW983013 OWS983013 PGO983013 PQK983013 QAG983013 QKC983013 QTY983013 RDU983013 RNQ983013 RXM983013 SHI983013 SRE983013 TBA983013 TKW983013 TUS983013 UEO983013 UOK983013 UYG983013 VIC983013 VRY983013 WBU983013 WLQ983013 WVM983013" xr:uid="{00000000-0002-0000-0100-000002000000}">
      <formula1>$P$17:$P$19</formula1>
    </dataValidation>
    <dataValidation type="list" allowBlank="1" showInputMessage="1" showErrorMessage="1" sqref="E12 JA12 SW12 ACS12 AMO12 AWK12 BGG12 BQC12 BZY12 CJU12 CTQ12 DDM12 DNI12 DXE12 EHA12 EQW12 FAS12 FKO12 FUK12 GEG12 GOC12 GXY12 HHU12 HRQ12 IBM12 ILI12 IVE12 JFA12 JOW12 JYS12 KIO12 KSK12 LCG12 LMC12 LVY12 MFU12 MPQ12 MZM12 NJI12 NTE12 ODA12 OMW12 OWS12 PGO12 PQK12 QAG12 QKC12 QTY12 RDU12 RNQ12 RXM12 SHI12 SRE12 TBA12 TKW12 TUS12 UEO12 UOK12 UYG12 VIC12 VRY12 WBU12 WLQ12 WVM12 E65507 JA65507 SW65507 ACS65507 AMO65507 AWK65507 BGG65507 BQC65507 BZY65507 CJU65507 CTQ65507 DDM65507 DNI65507 DXE65507 EHA65507 EQW65507 FAS65507 FKO65507 FUK65507 GEG65507 GOC65507 GXY65507 HHU65507 HRQ65507 IBM65507 ILI65507 IVE65507 JFA65507 JOW65507 JYS65507 KIO65507 KSK65507 LCG65507 LMC65507 LVY65507 MFU65507 MPQ65507 MZM65507 NJI65507 NTE65507 ODA65507 OMW65507 OWS65507 PGO65507 PQK65507 QAG65507 QKC65507 QTY65507 RDU65507 RNQ65507 RXM65507 SHI65507 SRE65507 TBA65507 TKW65507 TUS65507 UEO65507 UOK65507 UYG65507 VIC65507 VRY65507 WBU65507 WLQ65507 WVM65507 E131043 JA131043 SW131043 ACS131043 AMO131043 AWK131043 BGG131043 BQC131043 BZY131043 CJU131043 CTQ131043 DDM131043 DNI131043 DXE131043 EHA131043 EQW131043 FAS131043 FKO131043 FUK131043 GEG131043 GOC131043 GXY131043 HHU131043 HRQ131043 IBM131043 ILI131043 IVE131043 JFA131043 JOW131043 JYS131043 KIO131043 KSK131043 LCG131043 LMC131043 LVY131043 MFU131043 MPQ131043 MZM131043 NJI131043 NTE131043 ODA131043 OMW131043 OWS131043 PGO131043 PQK131043 QAG131043 QKC131043 QTY131043 RDU131043 RNQ131043 RXM131043 SHI131043 SRE131043 TBA131043 TKW131043 TUS131043 UEO131043 UOK131043 UYG131043 VIC131043 VRY131043 WBU131043 WLQ131043 WVM131043 E196579 JA196579 SW196579 ACS196579 AMO196579 AWK196579 BGG196579 BQC196579 BZY196579 CJU196579 CTQ196579 DDM196579 DNI196579 DXE196579 EHA196579 EQW196579 FAS196579 FKO196579 FUK196579 GEG196579 GOC196579 GXY196579 HHU196579 HRQ196579 IBM196579 ILI196579 IVE196579 JFA196579 JOW196579 JYS196579 KIO196579 KSK196579 LCG196579 LMC196579 LVY196579 MFU196579 MPQ196579 MZM196579 NJI196579 NTE196579 ODA196579 OMW196579 OWS196579 PGO196579 PQK196579 QAG196579 QKC196579 QTY196579 RDU196579 RNQ196579 RXM196579 SHI196579 SRE196579 TBA196579 TKW196579 TUS196579 UEO196579 UOK196579 UYG196579 VIC196579 VRY196579 WBU196579 WLQ196579 WVM196579 E262115 JA262115 SW262115 ACS262115 AMO262115 AWK262115 BGG262115 BQC262115 BZY262115 CJU262115 CTQ262115 DDM262115 DNI262115 DXE262115 EHA262115 EQW262115 FAS262115 FKO262115 FUK262115 GEG262115 GOC262115 GXY262115 HHU262115 HRQ262115 IBM262115 ILI262115 IVE262115 JFA262115 JOW262115 JYS262115 KIO262115 KSK262115 LCG262115 LMC262115 LVY262115 MFU262115 MPQ262115 MZM262115 NJI262115 NTE262115 ODA262115 OMW262115 OWS262115 PGO262115 PQK262115 QAG262115 QKC262115 QTY262115 RDU262115 RNQ262115 RXM262115 SHI262115 SRE262115 TBA262115 TKW262115 TUS262115 UEO262115 UOK262115 UYG262115 VIC262115 VRY262115 WBU262115 WLQ262115 WVM262115 E327651 JA327651 SW327651 ACS327651 AMO327651 AWK327651 BGG327651 BQC327651 BZY327651 CJU327651 CTQ327651 DDM327651 DNI327651 DXE327651 EHA327651 EQW327651 FAS327651 FKO327651 FUK327651 GEG327651 GOC327651 GXY327651 HHU327651 HRQ327651 IBM327651 ILI327651 IVE327651 JFA327651 JOW327651 JYS327651 KIO327651 KSK327651 LCG327651 LMC327651 LVY327651 MFU327651 MPQ327651 MZM327651 NJI327651 NTE327651 ODA327651 OMW327651 OWS327651 PGO327651 PQK327651 QAG327651 QKC327651 QTY327651 RDU327651 RNQ327651 RXM327651 SHI327651 SRE327651 TBA327651 TKW327651 TUS327651 UEO327651 UOK327651 UYG327651 VIC327651 VRY327651 WBU327651 WLQ327651 WVM327651 E393187 JA393187 SW393187 ACS393187 AMO393187 AWK393187 BGG393187 BQC393187 BZY393187 CJU393187 CTQ393187 DDM393187 DNI393187 DXE393187 EHA393187 EQW393187 FAS393187 FKO393187 FUK393187 GEG393187 GOC393187 GXY393187 HHU393187 HRQ393187 IBM393187 ILI393187 IVE393187 JFA393187 JOW393187 JYS393187 KIO393187 KSK393187 LCG393187 LMC393187 LVY393187 MFU393187 MPQ393187 MZM393187 NJI393187 NTE393187 ODA393187 OMW393187 OWS393187 PGO393187 PQK393187 QAG393187 QKC393187 QTY393187 RDU393187 RNQ393187 RXM393187 SHI393187 SRE393187 TBA393187 TKW393187 TUS393187 UEO393187 UOK393187 UYG393187 VIC393187 VRY393187 WBU393187 WLQ393187 WVM393187 E458723 JA458723 SW458723 ACS458723 AMO458723 AWK458723 BGG458723 BQC458723 BZY458723 CJU458723 CTQ458723 DDM458723 DNI458723 DXE458723 EHA458723 EQW458723 FAS458723 FKO458723 FUK458723 GEG458723 GOC458723 GXY458723 HHU458723 HRQ458723 IBM458723 ILI458723 IVE458723 JFA458723 JOW458723 JYS458723 KIO458723 KSK458723 LCG458723 LMC458723 LVY458723 MFU458723 MPQ458723 MZM458723 NJI458723 NTE458723 ODA458723 OMW458723 OWS458723 PGO458723 PQK458723 QAG458723 QKC458723 QTY458723 RDU458723 RNQ458723 RXM458723 SHI458723 SRE458723 TBA458723 TKW458723 TUS458723 UEO458723 UOK458723 UYG458723 VIC458723 VRY458723 WBU458723 WLQ458723 WVM458723 E524259 JA524259 SW524259 ACS524259 AMO524259 AWK524259 BGG524259 BQC524259 BZY524259 CJU524259 CTQ524259 DDM524259 DNI524259 DXE524259 EHA524259 EQW524259 FAS524259 FKO524259 FUK524259 GEG524259 GOC524259 GXY524259 HHU524259 HRQ524259 IBM524259 ILI524259 IVE524259 JFA524259 JOW524259 JYS524259 KIO524259 KSK524259 LCG524259 LMC524259 LVY524259 MFU524259 MPQ524259 MZM524259 NJI524259 NTE524259 ODA524259 OMW524259 OWS524259 PGO524259 PQK524259 QAG524259 QKC524259 QTY524259 RDU524259 RNQ524259 RXM524259 SHI524259 SRE524259 TBA524259 TKW524259 TUS524259 UEO524259 UOK524259 UYG524259 VIC524259 VRY524259 WBU524259 WLQ524259 WVM524259 E589795 JA589795 SW589795 ACS589795 AMO589795 AWK589795 BGG589795 BQC589795 BZY589795 CJU589795 CTQ589795 DDM589795 DNI589795 DXE589795 EHA589795 EQW589795 FAS589795 FKO589795 FUK589795 GEG589795 GOC589795 GXY589795 HHU589795 HRQ589795 IBM589795 ILI589795 IVE589795 JFA589795 JOW589795 JYS589795 KIO589795 KSK589795 LCG589795 LMC589795 LVY589795 MFU589795 MPQ589795 MZM589795 NJI589795 NTE589795 ODA589795 OMW589795 OWS589795 PGO589795 PQK589795 QAG589795 QKC589795 QTY589795 RDU589795 RNQ589795 RXM589795 SHI589795 SRE589795 TBA589795 TKW589795 TUS589795 UEO589795 UOK589795 UYG589795 VIC589795 VRY589795 WBU589795 WLQ589795 WVM589795 E655331 JA655331 SW655331 ACS655331 AMO655331 AWK655331 BGG655331 BQC655331 BZY655331 CJU655331 CTQ655331 DDM655331 DNI655331 DXE655331 EHA655331 EQW655331 FAS655331 FKO655331 FUK655331 GEG655331 GOC655331 GXY655331 HHU655331 HRQ655331 IBM655331 ILI655331 IVE655331 JFA655331 JOW655331 JYS655331 KIO655331 KSK655331 LCG655331 LMC655331 LVY655331 MFU655331 MPQ655331 MZM655331 NJI655331 NTE655331 ODA655331 OMW655331 OWS655331 PGO655331 PQK655331 QAG655331 QKC655331 QTY655331 RDU655331 RNQ655331 RXM655331 SHI655331 SRE655331 TBA655331 TKW655331 TUS655331 UEO655331 UOK655331 UYG655331 VIC655331 VRY655331 WBU655331 WLQ655331 WVM655331 E720867 JA720867 SW720867 ACS720867 AMO720867 AWK720867 BGG720867 BQC720867 BZY720867 CJU720867 CTQ720867 DDM720867 DNI720867 DXE720867 EHA720867 EQW720867 FAS720867 FKO720867 FUK720867 GEG720867 GOC720867 GXY720867 HHU720867 HRQ720867 IBM720867 ILI720867 IVE720867 JFA720867 JOW720867 JYS720867 KIO720867 KSK720867 LCG720867 LMC720867 LVY720867 MFU720867 MPQ720867 MZM720867 NJI720867 NTE720867 ODA720867 OMW720867 OWS720867 PGO720867 PQK720867 QAG720867 QKC720867 QTY720867 RDU720867 RNQ720867 RXM720867 SHI720867 SRE720867 TBA720867 TKW720867 TUS720867 UEO720867 UOK720867 UYG720867 VIC720867 VRY720867 WBU720867 WLQ720867 WVM720867 E786403 JA786403 SW786403 ACS786403 AMO786403 AWK786403 BGG786403 BQC786403 BZY786403 CJU786403 CTQ786403 DDM786403 DNI786403 DXE786403 EHA786403 EQW786403 FAS786403 FKO786403 FUK786403 GEG786403 GOC786403 GXY786403 HHU786403 HRQ786403 IBM786403 ILI786403 IVE786403 JFA786403 JOW786403 JYS786403 KIO786403 KSK786403 LCG786403 LMC786403 LVY786403 MFU786403 MPQ786403 MZM786403 NJI786403 NTE786403 ODA786403 OMW786403 OWS786403 PGO786403 PQK786403 QAG786403 QKC786403 QTY786403 RDU786403 RNQ786403 RXM786403 SHI786403 SRE786403 TBA786403 TKW786403 TUS786403 UEO786403 UOK786403 UYG786403 VIC786403 VRY786403 WBU786403 WLQ786403 WVM786403 E851939 JA851939 SW851939 ACS851939 AMO851939 AWK851939 BGG851939 BQC851939 BZY851939 CJU851939 CTQ851939 DDM851939 DNI851939 DXE851939 EHA851939 EQW851939 FAS851939 FKO851939 FUK851939 GEG851939 GOC851939 GXY851939 HHU851939 HRQ851939 IBM851939 ILI851939 IVE851939 JFA851939 JOW851939 JYS851939 KIO851939 KSK851939 LCG851939 LMC851939 LVY851939 MFU851939 MPQ851939 MZM851939 NJI851939 NTE851939 ODA851939 OMW851939 OWS851939 PGO851939 PQK851939 QAG851939 QKC851939 QTY851939 RDU851939 RNQ851939 RXM851939 SHI851939 SRE851939 TBA851939 TKW851939 TUS851939 UEO851939 UOK851939 UYG851939 VIC851939 VRY851939 WBU851939 WLQ851939 WVM851939 E917475 JA917475 SW917475 ACS917475 AMO917475 AWK917475 BGG917475 BQC917475 BZY917475 CJU917475 CTQ917475 DDM917475 DNI917475 DXE917475 EHA917475 EQW917475 FAS917475 FKO917475 FUK917475 GEG917475 GOC917475 GXY917475 HHU917475 HRQ917475 IBM917475 ILI917475 IVE917475 JFA917475 JOW917475 JYS917475 KIO917475 KSK917475 LCG917475 LMC917475 LVY917475 MFU917475 MPQ917475 MZM917475 NJI917475 NTE917475 ODA917475 OMW917475 OWS917475 PGO917475 PQK917475 QAG917475 QKC917475 QTY917475 RDU917475 RNQ917475 RXM917475 SHI917475 SRE917475 TBA917475 TKW917475 TUS917475 UEO917475 UOK917475 UYG917475 VIC917475 VRY917475 WBU917475 WLQ917475 WVM917475 E983011 JA983011 SW983011 ACS983011 AMO983011 AWK983011 BGG983011 BQC983011 BZY983011 CJU983011 CTQ983011 DDM983011 DNI983011 DXE983011 EHA983011 EQW983011 FAS983011 FKO983011 FUK983011 GEG983011 GOC983011 GXY983011 HHU983011 HRQ983011 IBM983011 ILI983011 IVE983011 JFA983011 JOW983011 JYS983011 KIO983011 KSK983011 LCG983011 LMC983011 LVY983011 MFU983011 MPQ983011 MZM983011 NJI983011 NTE983011 ODA983011 OMW983011 OWS983011 PGO983011 PQK983011 QAG983011 QKC983011 QTY983011 RDU983011 RNQ983011 RXM983011 SHI983011 SRE983011 TBA983011 TKW983011 TUS983011 UEO983011 UOK983011 UYG983011 VIC983011 VRY983011 WBU983011 WLQ983011 WVM983011" xr:uid="{00000000-0002-0000-0100-000003000000}">
      <formula1>$P$12:$P$14</formula1>
    </dataValidation>
    <dataValidation type="list" allowBlank="1" showInputMessage="1" showErrorMessage="1" sqref="E10 JA10 SW10 ACS10 AMO10 AWK10 BGG10 BQC10 BZY10 CJU10 CTQ10 DDM10 DNI10 DXE10 EHA10 EQW10 FAS10 FKO10 FUK10 GEG10 GOC10 GXY10 HHU10 HRQ10 IBM10 ILI10 IVE10 JFA10 JOW10 JYS10 KIO10 KSK10 LCG10 LMC10 LVY10 MFU10 MPQ10 MZM10 NJI10 NTE10 ODA10 OMW10 OWS10 PGO10 PQK10 QAG10 QKC10 QTY10 RDU10 RNQ10 RXM10 SHI10 SRE10 TBA10 TKW10 TUS10 UEO10 UOK10 UYG10 VIC10 VRY10 WBU10 WLQ10 WVM10 E65505 JA65505 SW65505 ACS65505 AMO65505 AWK65505 BGG65505 BQC65505 BZY65505 CJU65505 CTQ65505 DDM65505 DNI65505 DXE65505 EHA65505 EQW65505 FAS65505 FKO65505 FUK65505 GEG65505 GOC65505 GXY65505 HHU65505 HRQ65505 IBM65505 ILI65505 IVE65505 JFA65505 JOW65505 JYS65505 KIO65505 KSK65505 LCG65505 LMC65505 LVY65505 MFU65505 MPQ65505 MZM65505 NJI65505 NTE65505 ODA65505 OMW65505 OWS65505 PGO65505 PQK65505 QAG65505 QKC65505 QTY65505 RDU65505 RNQ65505 RXM65505 SHI65505 SRE65505 TBA65505 TKW65505 TUS65505 UEO65505 UOK65505 UYG65505 VIC65505 VRY65505 WBU65505 WLQ65505 WVM65505 E131041 JA131041 SW131041 ACS131041 AMO131041 AWK131041 BGG131041 BQC131041 BZY131041 CJU131041 CTQ131041 DDM131041 DNI131041 DXE131041 EHA131041 EQW131041 FAS131041 FKO131041 FUK131041 GEG131041 GOC131041 GXY131041 HHU131041 HRQ131041 IBM131041 ILI131041 IVE131041 JFA131041 JOW131041 JYS131041 KIO131041 KSK131041 LCG131041 LMC131041 LVY131041 MFU131041 MPQ131041 MZM131041 NJI131041 NTE131041 ODA131041 OMW131041 OWS131041 PGO131041 PQK131041 QAG131041 QKC131041 QTY131041 RDU131041 RNQ131041 RXM131041 SHI131041 SRE131041 TBA131041 TKW131041 TUS131041 UEO131041 UOK131041 UYG131041 VIC131041 VRY131041 WBU131041 WLQ131041 WVM131041 E196577 JA196577 SW196577 ACS196577 AMO196577 AWK196577 BGG196577 BQC196577 BZY196577 CJU196577 CTQ196577 DDM196577 DNI196577 DXE196577 EHA196577 EQW196577 FAS196577 FKO196577 FUK196577 GEG196577 GOC196577 GXY196577 HHU196577 HRQ196577 IBM196577 ILI196577 IVE196577 JFA196577 JOW196577 JYS196577 KIO196577 KSK196577 LCG196577 LMC196577 LVY196577 MFU196577 MPQ196577 MZM196577 NJI196577 NTE196577 ODA196577 OMW196577 OWS196577 PGO196577 PQK196577 QAG196577 QKC196577 QTY196577 RDU196577 RNQ196577 RXM196577 SHI196577 SRE196577 TBA196577 TKW196577 TUS196577 UEO196577 UOK196577 UYG196577 VIC196577 VRY196577 WBU196577 WLQ196577 WVM196577 E262113 JA262113 SW262113 ACS262113 AMO262113 AWK262113 BGG262113 BQC262113 BZY262113 CJU262113 CTQ262113 DDM262113 DNI262113 DXE262113 EHA262113 EQW262113 FAS262113 FKO262113 FUK262113 GEG262113 GOC262113 GXY262113 HHU262113 HRQ262113 IBM262113 ILI262113 IVE262113 JFA262113 JOW262113 JYS262113 KIO262113 KSK262113 LCG262113 LMC262113 LVY262113 MFU262113 MPQ262113 MZM262113 NJI262113 NTE262113 ODA262113 OMW262113 OWS262113 PGO262113 PQK262113 QAG262113 QKC262113 QTY262113 RDU262113 RNQ262113 RXM262113 SHI262113 SRE262113 TBA262113 TKW262113 TUS262113 UEO262113 UOK262113 UYG262113 VIC262113 VRY262113 WBU262113 WLQ262113 WVM262113 E327649 JA327649 SW327649 ACS327649 AMO327649 AWK327649 BGG327649 BQC327649 BZY327649 CJU327649 CTQ327649 DDM327649 DNI327649 DXE327649 EHA327649 EQW327649 FAS327649 FKO327649 FUK327649 GEG327649 GOC327649 GXY327649 HHU327649 HRQ327649 IBM327649 ILI327649 IVE327649 JFA327649 JOW327649 JYS327649 KIO327649 KSK327649 LCG327649 LMC327649 LVY327649 MFU327649 MPQ327649 MZM327649 NJI327649 NTE327649 ODA327649 OMW327649 OWS327649 PGO327649 PQK327649 QAG327649 QKC327649 QTY327649 RDU327649 RNQ327649 RXM327649 SHI327649 SRE327649 TBA327649 TKW327649 TUS327649 UEO327649 UOK327649 UYG327649 VIC327649 VRY327649 WBU327649 WLQ327649 WVM327649 E393185 JA393185 SW393185 ACS393185 AMO393185 AWK393185 BGG393185 BQC393185 BZY393185 CJU393185 CTQ393185 DDM393185 DNI393185 DXE393185 EHA393185 EQW393185 FAS393185 FKO393185 FUK393185 GEG393185 GOC393185 GXY393185 HHU393185 HRQ393185 IBM393185 ILI393185 IVE393185 JFA393185 JOW393185 JYS393185 KIO393185 KSK393185 LCG393185 LMC393185 LVY393185 MFU393185 MPQ393185 MZM393185 NJI393185 NTE393185 ODA393185 OMW393185 OWS393185 PGO393185 PQK393185 QAG393185 QKC393185 QTY393185 RDU393185 RNQ393185 RXM393185 SHI393185 SRE393185 TBA393185 TKW393185 TUS393185 UEO393185 UOK393185 UYG393185 VIC393185 VRY393185 WBU393185 WLQ393185 WVM393185 E458721 JA458721 SW458721 ACS458721 AMO458721 AWK458721 BGG458721 BQC458721 BZY458721 CJU458721 CTQ458721 DDM458721 DNI458721 DXE458721 EHA458721 EQW458721 FAS458721 FKO458721 FUK458721 GEG458721 GOC458721 GXY458721 HHU458721 HRQ458721 IBM458721 ILI458721 IVE458721 JFA458721 JOW458721 JYS458721 KIO458721 KSK458721 LCG458721 LMC458721 LVY458721 MFU458721 MPQ458721 MZM458721 NJI458721 NTE458721 ODA458721 OMW458721 OWS458721 PGO458721 PQK458721 QAG458721 QKC458721 QTY458721 RDU458721 RNQ458721 RXM458721 SHI458721 SRE458721 TBA458721 TKW458721 TUS458721 UEO458721 UOK458721 UYG458721 VIC458721 VRY458721 WBU458721 WLQ458721 WVM458721 E524257 JA524257 SW524257 ACS524257 AMO524257 AWK524257 BGG524257 BQC524257 BZY524257 CJU524257 CTQ524257 DDM524257 DNI524257 DXE524257 EHA524257 EQW524257 FAS524257 FKO524257 FUK524257 GEG524257 GOC524257 GXY524257 HHU524257 HRQ524257 IBM524257 ILI524257 IVE524257 JFA524257 JOW524257 JYS524257 KIO524257 KSK524257 LCG524257 LMC524257 LVY524257 MFU524257 MPQ524257 MZM524257 NJI524257 NTE524257 ODA524257 OMW524257 OWS524257 PGO524257 PQK524257 QAG524257 QKC524257 QTY524257 RDU524257 RNQ524257 RXM524257 SHI524257 SRE524257 TBA524257 TKW524257 TUS524257 UEO524257 UOK524257 UYG524257 VIC524257 VRY524257 WBU524257 WLQ524257 WVM524257 E589793 JA589793 SW589793 ACS589793 AMO589793 AWK589793 BGG589793 BQC589793 BZY589793 CJU589793 CTQ589793 DDM589793 DNI589793 DXE589793 EHA589793 EQW589793 FAS589793 FKO589793 FUK589793 GEG589793 GOC589793 GXY589793 HHU589793 HRQ589793 IBM589793 ILI589793 IVE589793 JFA589793 JOW589793 JYS589793 KIO589793 KSK589793 LCG589793 LMC589793 LVY589793 MFU589793 MPQ589793 MZM589793 NJI589793 NTE589793 ODA589793 OMW589793 OWS589793 PGO589793 PQK589793 QAG589793 QKC589793 QTY589793 RDU589793 RNQ589793 RXM589793 SHI589793 SRE589793 TBA589793 TKW589793 TUS589793 UEO589793 UOK589793 UYG589793 VIC589793 VRY589793 WBU589793 WLQ589793 WVM589793 E655329 JA655329 SW655329 ACS655329 AMO655329 AWK655329 BGG655329 BQC655329 BZY655329 CJU655329 CTQ655329 DDM655329 DNI655329 DXE655329 EHA655329 EQW655329 FAS655329 FKO655329 FUK655329 GEG655329 GOC655329 GXY655329 HHU655329 HRQ655329 IBM655329 ILI655329 IVE655329 JFA655329 JOW655329 JYS655329 KIO655329 KSK655329 LCG655329 LMC655329 LVY655329 MFU655329 MPQ655329 MZM655329 NJI655329 NTE655329 ODA655329 OMW655329 OWS655329 PGO655329 PQK655329 QAG655329 QKC655329 QTY655329 RDU655329 RNQ655329 RXM655329 SHI655329 SRE655329 TBA655329 TKW655329 TUS655329 UEO655329 UOK655329 UYG655329 VIC655329 VRY655329 WBU655329 WLQ655329 WVM655329 E720865 JA720865 SW720865 ACS720865 AMO720865 AWK720865 BGG720865 BQC720865 BZY720865 CJU720865 CTQ720865 DDM720865 DNI720865 DXE720865 EHA720865 EQW720865 FAS720865 FKO720865 FUK720865 GEG720865 GOC720865 GXY720865 HHU720865 HRQ720865 IBM720865 ILI720865 IVE720865 JFA720865 JOW720865 JYS720865 KIO720865 KSK720865 LCG720865 LMC720865 LVY720865 MFU720865 MPQ720865 MZM720865 NJI720865 NTE720865 ODA720865 OMW720865 OWS720865 PGO720865 PQK720865 QAG720865 QKC720865 QTY720865 RDU720865 RNQ720865 RXM720865 SHI720865 SRE720865 TBA720865 TKW720865 TUS720865 UEO720865 UOK720865 UYG720865 VIC720865 VRY720865 WBU720865 WLQ720865 WVM720865 E786401 JA786401 SW786401 ACS786401 AMO786401 AWK786401 BGG786401 BQC786401 BZY786401 CJU786401 CTQ786401 DDM786401 DNI786401 DXE786401 EHA786401 EQW786401 FAS786401 FKO786401 FUK786401 GEG786401 GOC786401 GXY786401 HHU786401 HRQ786401 IBM786401 ILI786401 IVE786401 JFA786401 JOW786401 JYS786401 KIO786401 KSK786401 LCG786401 LMC786401 LVY786401 MFU786401 MPQ786401 MZM786401 NJI786401 NTE786401 ODA786401 OMW786401 OWS786401 PGO786401 PQK786401 QAG786401 QKC786401 QTY786401 RDU786401 RNQ786401 RXM786401 SHI786401 SRE786401 TBA786401 TKW786401 TUS786401 UEO786401 UOK786401 UYG786401 VIC786401 VRY786401 WBU786401 WLQ786401 WVM786401 E851937 JA851937 SW851937 ACS851937 AMO851937 AWK851937 BGG851937 BQC851937 BZY851937 CJU851937 CTQ851937 DDM851937 DNI851937 DXE851937 EHA851937 EQW851937 FAS851937 FKO851937 FUK851937 GEG851937 GOC851937 GXY851937 HHU851937 HRQ851937 IBM851937 ILI851937 IVE851937 JFA851937 JOW851937 JYS851937 KIO851937 KSK851937 LCG851937 LMC851937 LVY851937 MFU851937 MPQ851937 MZM851937 NJI851937 NTE851937 ODA851937 OMW851937 OWS851937 PGO851937 PQK851937 QAG851937 QKC851937 QTY851937 RDU851937 RNQ851937 RXM851937 SHI851937 SRE851937 TBA851937 TKW851937 TUS851937 UEO851937 UOK851937 UYG851937 VIC851937 VRY851937 WBU851937 WLQ851937 WVM851937 E917473 JA917473 SW917473 ACS917473 AMO917473 AWK917473 BGG917473 BQC917473 BZY917473 CJU917473 CTQ917473 DDM917473 DNI917473 DXE917473 EHA917473 EQW917473 FAS917473 FKO917473 FUK917473 GEG917473 GOC917473 GXY917473 HHU917473 HRQ917473 IBM917473 ILI917473 IVE917473 JFA917473 JOW917473 JYS917473 KIO917473 KSK917473 LCG917473 LMC917473 LVY917473 MFU917473 MPQ917473 MZM917473 NJI917473 NTE917473 ODA917473 OMW917473 OWS917473 PGO917473 PQK917473 QAG917473 QKC917473 QTY917473 RDU917473 RNQ917473 RXM917473 SHI917473 SRE917473 TBA917473 TKW917473 TUS917473 UEO917473 UOK917473 UYG917473 VIC917473 VRY917473 WBU917473 WLQ917473 WVM917473 E983009 JA983009 SW983009 ACS983009 AMO983009 AWK983009 BGG983009 BQC983009 BZY983009 CJU983009 CTQ983009 DDM983009 DNI983009 DXE983009 EHA983009 EQW983009 FAS983009 FKO983009 FUK983009 GEG983009 GOC983009 GXY983009 HHU983009 HRQ983009 IBM983009 ILI983009 IVE983009 JFA983009 JOW983009 JYS983009 KIO983009 KSK983009 LCG983009 LMC983009 LVY983009 MFU983009 MPQ983009 MZM983009 NJI983009 NTE983009 ODA983009 OMW983009 OWS983009 PGO983009 PQK983009 QAG983009 QKC983009 QTY983009 RDU983009 RNQ983009 RXM983009 SHI983009 SRE983009 TBA983009 TKW983009 TUS983009 UEO983009 UOK983009 UYG983009 VIC983009 VRY983009 WBU983009 WLQ983009 WVM983009" xr:uid="{00000000-0002-0000-0100-000004000000}">
      <formula1>$P$6:$P$8</formula1>
    </dataValidation>
    <dataValidation type="list" allowBlank="1" showInputMessage="1" showErrorMessage="1" sqref="E9 JA9 SW9 ACS9 AMO9 AWK9 BGG9 BQC9 BZY9 CJU9 CTQ9 DDM9 DNI9 DXE9 EHA9 EQW9 FAS9 FKO9 FUK9 GEG9 GOC9 GXY9 HHU9 HRQ9 IBM9 ILI9 IVE9 JFA9 JOW9 JYS9 KIO9 KSK9 LCG9 LMC9 LVY9 MFU9 MPQ9 MZM9 NJI9 NTE9 ODA9 OMW9 OWS9 PGO9 PQK9 QAG9 QKC9 QTY9 RDU9 RNQ9 RXM9 SHI9 SRE9 TBA9 TKW9 TUS9 UEO9 UOK9 UYG9 VIC9 VRY9 WBU9 WLQ9 WVM9 E65504 JA65504 SW65504 ACS65504 AMO65504 AWK65504 BGG65504 BQC65504 BZY65504 CJU65504 CTQ65504 DDM65504 DNI65504 DXE65504 EHA65504 EQW65504 FAS65504 FKO65504 FUK65504 GEG65504 GOC65504 GXY65504 HHU65504 HRQ65504 IBM65504 ILI65504 IVE65504 JFA65504 JOW65504 JYS65504 KIO65504 KSK65504 LCG65504 LMC65504 LVY65504 MFU65504 MPQ65504 MZM65504 NJI65504 NTE65504 ODA65504 OMW65504 OWS65504 PGO65504 PQK65504 QAG65504 QKC65504 QTY65504 RDU65504 RNQ65504 RXM65504 SHI65504 SRE65504 TBA65504 TKW65504 TUS65504 UEO65504 UOK65504 UYG65504 VIC65504 VRY65504 WBU65504 WLQ65504 WVM65504 E131040 JA131040 SW131040 ACS131040 AMO131040 AWK131040 BGG131040 BQC131040 BZY131040 CJU131040 CTQ131040 DDM131040 DNI131040 DXE131040 EHA131040 EQW131040 FAS131040 FKO131040 FUK131040 GEG131040 GOC131040 GXY131040 HHU131040 HRQ131040 IBM131040 ILI131040 IVE131040 JFA131040 JOW131040 JYS131040 KIO131040 KSK131040 LCG131040 LMC131040 LVY131040 MFU131040 MPQ131040 MZM131040 NJI131040 NTE131040 ODA131040 OMW131040 OWS131040 PGO131040 PQK131040 QAG131040 QKC131040 QTY131040 RDU131040 RNQ131040 RXM131040 SHI131040 SRE131040 TBA131040 TKW131040 TUS131040 UEO131040 UOK131040 UYG131040 VIC131040 VRY131040 WBU131040 WLQ131040 WVM131040 E196576 JA196576 SW196576 ACS196576 AMO196576 AWK196576 BGG196576 BQC196576 BZY196576 CJU196576 CTQ196576 DDM196576 DNI196576 DXE196576 EHA196576 EQW196576 FAS196576 FKO196576 FUK196576 GEG196576 GOC196576 GXY196576 HHU196576 HRQ196576 IBM196576 ILI196576 IVE196576 JFA196576 JOW196576 JYS196576 KIO196576 KSK196576 LCG196576 LMC196576 LVY196576 MFU196576 MPQ196576 MZM196576 NJI196576 NTE196576 ODA196576 OMW196576 OWS196576 PGO196576 PQK196576 QAG196576 QKC196576 QTY196576 RDU196576 RNQ196576 RXM196576 SHI196576 SRE196576 TBA196576 TKW196576 TUS196576 UEO196576 UOK196576 UYG196576 VIC196576 VRY196576 WBU196576 WLQ196576 WVM196576 E262112 JA262112 SW262112 ACS262112 AMO262112 AWK262112 BGG262112 BQC262112 BZY262112 CJU262112 CTQ262112 DDM262112 DNI262112 DXE262112 EHA262112 EQW262112 FAS262112 FKO262112 FUK262112 GEG262112 GOC262112 GXY262112 HHU262112 HRQ262112 IBM262112 ILI262112 IVE262112 JFA262112 JOW262112 JYS262112 KIO262112 KSK262112 LCG262112 LMC262112 LVY262112 MFU262112 MPQ262112 MZM262112 NJI262112 NTE262112 ODA262112 OMW262112 OWS262112 PGO262112 PQK262112 QAG262112 QKC262112 QTY262112 RDU262112 RNQ262112 RXM262112 SHI262112 SRE262112 TBA262112 TKW262112 TUS262112 UEO262112 UOK262112 UYG262112 VIC262112 VRY262112 WBU262112 WLQ262112 WVM262112 E327648 JA327648 SW327648 ACS327648 AMO327648 AWK327648 BGG327648 BQC327648 BZY327648 CJU327648 CTQ327648 DDM327648 DNI327648 DXE327648 EHA327648 EQW327648 FAS327648 FKO327648 FUK327648 GEG327648 GOC327648 GXY327648 HHU327648 HRQ327648 IBM327648 ILI327648 IVE327648 JFA327648 JOW327648 JYS327648 KIO327648 KSK327648 LCG327648 LMC327648 LVY327648 MFU327648 MPQ327648 MZM327648 NJI327648 NTE327648 ODA327648 OMW327648 OWS327648 PGO327648 PQK327648 QAG327648 QKC327648 QTY327648 RDU327648 RNQ327648 RXM327648 SHI327648 SRE327648 TBA327648 TKW327648 TUS327648 UEO327648 UOK327648 UYG327648 VIC327648 VRY327648 WBU327648 WLQ327648 WVM327648 E393184 JA393184 SW393184 ACS393184 AMO393184 AWK393184 BGG393184 BQC393184 BZY393184 CJU393184 CTQ393184 DDM393184 DNI393184 DXE393184 EHA393184 EQW393184 FAS393184 FKO393184 FUK393184 GEG393184 GOC393184 GXY393184 HHU393184 HRQ393184 IBM393184 ILI393184 IVE393184 JFA393184 JOW393184 JYS393184 KIO393184 KSK393184 LCG393184 LMC393184 LVY393184 MFU393184 MPQ393184 MZM393184 NJI393184 NTE393184 ODA393184 OMW393184 OWS393184 PGO393184 PQK393184 QAG393184 QKC393184 QTY393184 RDU393184 RNQ393184 RXM393184 SHI393184 SRE393184 TBA393184 TKW393184 TUS393184 UEO393184 UOK393184 UYG393184 VIC393184 VRY393184 WBU393184 WLQ393184 WVM393184 E458720 JA458720 SW458720 ACS458720 AMO458720 AWK458720 BGG458720 BQC458720 BZY458720 CJU458720 CTQ458720 DDM458720 DNI458720 DXE458720 EHA458720 EQW458720 FAS458720 FKO458720 FUK458720 GEG458720 GOC458720 GXY458720 HHU458720 HRQ458720 IBM458720 ILI458720 IVE458720 JFA458720 JOW458720 JYS458720 KIO458720 KSK458720 LCG458720 LMC458720 LVY458720 MFU458720 MPQ458720 MZM458720 NJI458720 NTE458720 ODA458720 OMW458720 OWS458720 PGO458720 PQK458720 QAG458720 QKC458720 QTY458720 RDU458720 RNQ458720 RXM458720 SHI458720 SRE458720 TBA458720 TKW458720 TUS458720 UEO458720 UOK458720 UYG458720 VIC458720 VRY458720 WBU458720 WLQ458720 WVM458720 E524256 JA524256 SW524256 ACS524256 AMO524256 AWK524256 BGG524256 BQC524256 BZY524256 CJU524256 CTQ524256 DDM524256 DNI524256 DXE524256 EHA524256 EQW524256 FAS524256 FKO524256 FUK524256 GEG524256 GOC524256 GXY524256 HHU524256 HRQ524256 IBM524256 ILI524256 IVE524256 JFA524256 JOW524256 JYS524256 KIO524256 KSK524256 LCG524256 LMC524256 LVY524256 MFU524256 MPQ524256 MZM524256 NJI524256 NTE524256 ODA524256 OMW524256 OWS524256 PGO524256 PQK524256 QAG524256 QKC524256 QTY524256 RDU524256 RNQ524256 RXM524256 SHI524256 SRE524256 TBA524256 TKW524256 TUS524256 UEO524256 UOK524256 UYG524256 VIC524256 VRY524256 WBU524256 WLQ524256 WVM524256 E589792 JA589792 SW589792 ACS589792 AMO589792 AWK589792 BGG589792 BQC589792 BZY589792 CJU589792 CTQ589792 DDM589792 DNI589792 DXE589792 EHA589792 EQW589792 FAS589792 FKO589792 FUK589792 GEG589792 GOC589792 GXY589792 HHU589792 HRQ589792 IBM589792 ILI589792 IVE589792 JFA589792 JOW589792 JYS589792 KIO589792 KSK589792 LCG589792 LMC589792 LVY589792 MFU589792 MPQ589792 MZM589792 NJI589792 NTE589792 ODA589792 OMW589792 OWS589792 PGO589792 PQK589792 QAG589792 QKC589792 QTY589792 RDU589792 RNQ589792 RXM589792 SHI589792 SRE589792 TBA589792 TKW589792 TUS589792 UEO589792 UOK589792 UYG589792 VIC589792 VRY589792 WBU589792 WLQ589792 WVM589792 E655328 JA655328 SW655328 ACS655328 AMO655328 AWK655328 BGG655328 BQC655328 BZY655328 CJU655328 CTQ655328 DDM655328 DNI655328 DXE655328 EHA655328 EQW655328 FAS655328 FKO655328 FUK655328 GEG655328 GOC655328 GXY655328 HHU655328 HRQ655328 IBM655328 ILI655328 IVE655328 JFA655328 JOW655328 JYS655328 KIO655328 KSK655328 LCG655328 LMC655328 LVY655328 MFU655328 MPQ655328 MZM655328 NJI655328 NTE655328 ODA655328 OMW655328 OWS655328 PGO655328 PQK655328 QAG655328 QKC655328 QTY655328 RDU655328 RNQ655328 RXM655328 SHI655328 SRE655328 TBA655328 TKW655328 TUS655328 UEO655328 UOK655328 UYG655328 VIC655328 VRY655328 WBU655328 WLQ655328 WVM655328 E720864 JA720864 SW720864 ACS720864 AMO720864 AWK720864 BGG720864 BQC720864 BZY720864 CJU720864 CTQ720864 DDM720864 DNI720864 DXE720864 EHA720864 EQW720864 FAS720864 FKO720864 FUK720864 GEG720864 GOC720864 GXY720864 HHU720864 HRQ720864 IBM720864 ILI720864 IVE720864 JFA720864 JOW720864 JYS720864 KIO720864 KSK720864 LCG720864 LMC720864 LVY720864 MFU720864 MPQ720864 MZM720864 NJI720864 NTE720864 ODA720864 OMW720864 OWS720864 PGO720864 PQK720864 QAG720864 QKC720864 QTY720864 RDU720864 RNQ720864 RXM720864 SHI720864 SRE720864 TBA720864 TKW720864 TUS720864 UEO720864 UOK720864 UYG720864 VIC720864 VRY720864 WBU720864 WLQ720864 WVM720864 E786400 JA786400 SW786400 ACS786400 AMO786400 AWK786400 BGG786400 BQC786400 BZY786400 CJU786400 CTQ786400 DDM786400 DNI786400 DXE786400 EHA786400 EQW786400 FAS786400 FKO786400 FUK786400 GEG786400 GOC786400 GXY786400 HHU786400 HRQ786400 IBM786400 ILI786400 IVE786400 JFA786400 JOW786400 JYS786400 KIO786400 KSK786400 LCG786400 LMC786400 LVY786400 MFU786400 MPQ786400 MZM786400 NJI786400 NTE786400 ODA786400 OMW786400 OWS786400 PGO786400 PQK786400 QAG786400 QKC786400 QTY786400 RDU786400 RNQ786400 RXM786400 SHI786400 SRE786400 TBA786400 TKW786400 TUS786400 UEO786400 UOK786400 UYG786400 VIC786400 VRY786400 WBU786400 WLQ786400 WVM786400 E851936 JA851936 SW851936 ACS851936 AMO851936 AWK851936 BGG851936 BQC851936 BZY851936 CJU851936 CTQ851936 DDM851936 DNI851936 DXE851936 EHA851936 EQW851936 FAS851936 FKO851936 FUK851936 GEG851936 GOC851936 GXY851936 HHU851936 HRQ851936 IBM851936 ILI851936 IVE851936 JFA851936 JOW851936 JYS851936 KIO851936 KSK851936 LCG851936 LMC851936 LVY851936 MFU851936 MPQ851936 MZM851936 NJI851936 NTE851936 ODA851936 OMW851936 OWS851936 PGO851936 PQK851936 QAG851936 QKC851936 QTY851936 RDU851936 RNQ851936 RXM851936 SHI851936 SRE851936 TBA851936 TKW851936 TUS851936 UEO851936 UOK851936 UYG851936 VIC851936 VRY851936 WBU851936 WLQ851936 WVM851936 E917472 JA917472 SW917472 ACS917472 AMO917472 AWK917472 BGG917472 BQC917472 BZY917472 CJU917472 CTQ917472 DDM917472 DNI917472 DXE917472 EHA917472 EQW917472 FAS917472 FKO917472 FUK917472 GEG917472 GOC917472 GXY917472 HHU917472 HRQ917472 IBM917472 ILI917472 IVE917472 JFA917472 JOW917472 JYS917472 KIO917472 KSK917472 LCG917472 LMC917472 LVY917472 MFU917472 MPQ917472 MZM917472 NJI917472 NTE917472 ODA917472 OMW917472 OWS917472 PGO917472 PQK917472 QAG917472 QKC917472 QTY917472 RDU917472 RNQ917472 RXM917472 SHI917472 SRE917472 TBA917472 TKW917472 TUS917472 UEO917472 UOK917472 UYG917472 VIC917472 VRY917472 WBU917472 WLQ917472 WVM917472 E983008 JA983008 SW983008 ACS983008 AMO983008 AWK983008 BGG983008 BQC983008 BZY983008 CJU983008 CTQ983008 DDM983008 DNI983008 DXE983008 EHA983008 EQW983008 FAS983008 FKO983008 FUK983008 GEG983008 GOC983008 GXY983008 HHU983008 HRQ983008 IBM983008 ILI983008 IVE983008 JFA983008 JOW983008 JYS983008 KIO983008 KSK983008 LCG983008 LMC983008 LVY983008 MFU983008 MPQ983008 MZM983008 NJI983008 NTE983008 ODA983008 OMW983008 OWS983008 PGO983008 PQK983008 QAG983008 QKC983008 QTY983008 RDU983008 RNQ983008 RXM983008 SHI983008 SRE983008 TBA983008 TKW983008 TUS983008 UEO983008 UOK983008 UYG983008 VIC983008 VRY983008 WBU983008 WLQ983008 WVM983008" xr:uid="{00000000-0002-0000-0100-000005000000}">
      <formula1>$P$3:$P$5</formula1>
    </dataValidation>
    <dataValidation type="list" allowBlank="1" showInputMessage="1" showErrorMessage="1" sqref="E11 JA11 SW11 ACS11 AMO11 AWK11 BGG11 BQC11 BZY11 CJU11 CTQ11 DDM11 DNI11 DXE11 EHA11 EQW11 FAS11 FKO11 FUK11 GEG11 GOC11 GXY11 HHU11 HRQ11 IBM11 ILI11 IVE11 JFA11 JOW11 JYS11 KIO11 KSK11 LCG11 LMC11 LVY11 MFU11 MPQ11 MZM11 NJI11 NTE11 ODA11 OMW11 OWS11 PGO11 PQK11 QAG11 QKC11 QTY11 RDU11 RNQ11 RXM11 SHI11 SRE11 TBA11 TKW11 TUS11 UEO11 UOK11 UYG11 VIC11 VRY11 WBU11 WLQ11 WVM11 E65506 JA65506 SW65506 ACS65506 AMO65506 AWK65506 BGG65506 BQC65506 BZY65506 CJU65506 CTQ65506 DDM65506 DNI65506 DXE65506 EHA65506 EQW65506 FAS65506 FKO65506 FUK65506 GEG65506 GOC65506 GXY65506 HHU65506 HRQ65506 IBM65506 ILI65506 IVE65506 JFA65506 JOW65506 JYS65506 KIO65506 KSK65506 LCG65506 LMC65506 LVY65506 MFU65506 MPQ65506 MZM65506 NJI65506 NTE65506 ODA65506 OMW65506 OWS65506 PGO65506 PQK65506 QAG65506 QKC65506 QTY65506 RDU65506 RNQ65506 RXM65506 SHI65506 SRE65506 TBA65506 TKW65506 TUS65506 UEO65506 UOK65506 UYG65506 VIC65506 VRY65506 WBU65506 WLQ65506 WVM65506 E131042 JA131042 SW131042 ACS131042 AMO131042 AWK131042 BGG131042 BQC131042 BZY131042 CJU131042 CTQ131042 DDM131042 DNI131042 DXE131042 EHA131042 EQW131042 FAS131042 FKO131042 FUK131042 GEG131042 GOC131042 GXY131042 HHU131042 HRQ131042 IBM131042 ILI131042 IVE131042 JFA131042 JOW131042 JYS131042 KIO131042 KSK131042 LCG131042 LMC131042 LVY131042 MFU131042 MPQ131042 MZM131042 NJI131042 NTE131042 ODA131042 OMW131042 OWS131042 PGO131042 PQK131042 QAG131042 QKC131042 QTY131042 RDU131042 RNQ131042 RXM131042 SHI131042 SRE131042 TBA131042 TKW131042 TUS131042 UEO131042 UOK131042 UYG131042 VIC131042 VRY131042 WBU131042 WLQ131042 WVM131042 E196578 JA196578 SW196578 ACS196578 AMO196578 AWK196578 BGG196578 BQC196578 BZY196578 CJU196578 CTQ196578 DDM196578 DNI196578 DXE196578 EHA196578 EQW196578 FAS196578 FKO196578 FUK196578 GEG196578 GOC196578 GXY196578 HHU196578 HRQ196578 IBM196578 ILI196578 IVE196578 JFA196578 JOW196578 JYS196578 KIO196578 KSK196578 LCG196578 LMC196578 LVY196578 MFU196578 MPQ196578 MZM196578 NJI196578 NTE196578 ODA196578 OMW196578 OWS196578 PGO196578 PQK196578 QAG196578 QKC196578 QTY196578 RDU196578 RNQ196578 RXM196578 SHI196578 SRE196578 TBA196578 TKW196578 TUS196578 UEO196578 UOK196578 UYG196578 VIC196578 VRY196578 WBU196578 WLQ196578 WVM196578 E262114 JA262114 SW262114 ACS262114 AMO262114 AWK262114 BGG262114 BQC262114 BZY262114 CJU262114 CTQ262114 DDM262114 DNI262114 DXE262114 EHA262114 EQW262114 FAS262114 FKO262114 FUK262114 GEG262114 GOC262114 GXY262114 HHU262114 HRQ262114 IBM262114 ILI262114 IVE262114 JFA262114 JOW262114 JYS262114 KIO262114 KSK262114 LCG262114 LMC262114 LVY262114 MFU262114 MPQ262114 MZM262114 NJI262114 NTE262114 ODA262114 OMW262114 OWS262114 PGO262114 PQK262114 QAG262114 QKC262114 QTY262114 RDU262114 RNQ262114 RXM262114 SHI262114 SRE262114 TBA262114 TKW262114 TUS262114 UEO262114 UOK262114 UYG262114 VIC262114 VRY262114 WBU262114 WLQ262114 WVM262114 E327650 JA327650 SW327650 ACS327650 AMO327650 AWK327650 BGG327650 BQC327650 BZY327650 CJU327650 CTQ327650 DDM327650 DNI327650 DXE327650 EHA327650 EQW327650 FAS327650 FKO327650 FUK327650 GEG327650 GOC327650 GXY327650 HHU327650 HRQ327650 IBM327650 ILI327650 IVE327650 JFA327650 JOW327650 JYS327650 KIO327650 KSK327650 LCG327650 LMC327650 LVY327650 MFU327650 MPQ327650 MZM327650 NJI327650 NTE327650 ODA327650 OMW327650 OWS327650 PGO327650 PQK327650 QAG327650 QKC327650 QTY327650 RDU327650 RNQ327650 RXM327650 SHI327650 SRE327650 TBA327650 TKW327650 TUS327650 UEO327650 UOK327650 UYG327650 VIC327650 VRY327650 WBU327650 WLQ327650 WVM327650 E393186 JA393186 SW393186 ACS393186 AMO393186 AWK393186 BGG393186 BQC393186 BZY393186 CJU393186 CTQ393186 DDM393186 DNI393186 DXE393186 EHA393186 EQW393186 FAS393186 FKO393186 FUK393186 GEG393186 GOC393186 GXY393186 HHU393186 HRQ393186 IBM393186 ILI393186 IVE393186 JFA393186 JOW393186 JYS393186 KIO393186 KSK393186 LCG393186 LMC393186 LVY393186 MFU393186 MPQ393186 MZM393186 NJI393186 NTE393186 ODA393186 OMW393186 OWS393186 PGO393186 PQK393186 QAG393186 QKC393186 QTY393186 RDU393186 RNQ393186 RXM393186 SHI393186 SRE393186 TBA393186 TKW393186 TUS393186 UEO393186 UOK393186 UYG393186 VIC393186 VRY393186 WBU393186 WLQ393186 WVM393186 E458722 JA458722 SW458722 ACS458722 AMO458722 AWK458722 BGG458722 BQC458722 BZY458722 CJU458722 CTQ458722 DDM458722 DNI458722 DXE458722 EHA458722 EQW458722 FAS458722 FKO458722 FUK458722 GEG458722 GOC458722 GXY458722 HHU458722 HRQ458722 IBM458722 ILI458722 IVE458722 JFA458722 JOW458722 JYS458722 KIO458722 KSK458722 LCG458722 LMC458722 LVY458722 MFU458722 MPQ458722 MZM458722 NJI458722 NTE458722 ODA458722 OMW458722 OWS458722 PGO458722 PQK458722 QAG458722 QKC458722 QTY458722 RDU458722 RNQ458722 RXM458722 SHI458722 SRE458722 TBA458722 TKW458722 TUS458722 UEO458722 UOK458722 UYG458722 VIC458722 VRY458722 WBU458722 WLQ458722 WVM458722 E524258 JA524258 SW524258 ACS524258 AMO524258 AWK524258 BGG524258 BQC524258 BZY524258 CJU524258 CTQ524258 DDM524258 DNI524258 DXE524258 EHA524258 EQW524258 FAS524258 FKO524258 FUK524258 GEG524258 GOC524258 GXY524258 HHU524258 HRQ524258 IBM524258 ILI524258 IVE524258 JFA524258 JOW524258 JYS524258 KIO524258 KSK524258 LCG524258 LMC524258 LVY524258 MFU524258 MPQ524258 MZM524258 NJI524258 NTE524258 ODA524258 OMW524258 OWS524258 PGO524258 PQK524258 QAG524258 QKC524258 QTY524258 RDU524258 RNQ524258 RXM524258 SHI524258 SRE524258 TBA524258 TKW524258 TUS524258 UEO524258 UOK524258 UYG524258 VIC524258 VRY524258 WBU524258 WLQ524258 WVM524258 E589794 JA589794 SW589794 ACS589794 AMO589794 AWK589794 BGG589794 BQC589794 BZY589794 CJU589794 CTQ589794 DDM589794 DNI589794 DXE589794 EHA589794 EQW589794 FAS589794 FKO589794 FUK589794 GEG589794 GOC589794 GXY589794 HHU589794 HRQ589794 IBM589794 ILI589794 IVE589794 JFA589794 JOW589794 JYS589794 KIO589794 KSK589794 LCG589794 LMC589794 LVY589794 MFU589794 MPQ589794 MZM589794 NJI589794 NTE589794 ODA589794 OMW589794 OWS589794 PGO589794 PQK589794 QAG589794 QKC589794 QTY589794 RDU589794 RNQ589794 RXM589794 SHI589794 SRE589794 TBA589794 TKW589794 TUS589794 UEO589794 UOK589794 UYG589794 VIC589794 VRY589794 WBU589794 WLQ589794 WVM589794 E655330 JA655330 SW655330 ACS655330 AMO655330 AWK655330 BGG655330 BQC655330 BZY655330 CJU655330 CTQ655330 DDM655330 DNI655330 DXE655330 EHA655330 EQW655330 FAS655330 FKO655330 FUK655330 GEG655330 GOC655330 GXY655330 HHU655330 HRQ655330 IBM655330 ILI655330 IVE655330 JFA655330 JOW655330 JYS655330 KIO655330 KSK655330 LCG655330 LMC655330 LVY655330 MFU655330 MPQ655330 MZM655330 NJI655330 NTE655330 ODA655330 OMW655330 OWS655330 PGO655330 PQK655330 QAG655330 QKC655330 QTY655330 RDU655330 RNQ655330 RXM655330 SHI655330 SRE655330 TBA655330 TKW655330 TUS655330 UEO655330 UOK655330 UYG655330 VIC655330 VRY655330 WBU655330 WLQ655330 WVM655330 E720866 JA720866 SW720866 ACS720866 AMO720866 AWK720866 BGG720866 BQC720866 BZY720866 CJU720866 CTQ720866 DDM720866 DNI720866 DXE720866 EHA720866 EQW720866 FAS720866 FKO720866 FUK720866 GEG720866 GOC720866 GXY720866 HHU720866 HRQ720866 IBM720866 ILI720866 IVE720866 JFA720866 JOW720866 JYS720866 KIO720866 KSK720866 LCG720866 LMC720866 LVY720866 MFU720866 MPQ720866 MZM720866 NJI720866 NTE720866 ODA720866 OMW720866 OWS720866 PGO720866 PQK720866 QAG720866 QKC720866 QTY720866 RDU720866 RNQ720866 RXM720866 SHI720866 SRE720866 TBA720866 TKW720866 TUS720866 UEO720866 UOK720866 UYG720866 VIC720866 VRY720866 WBU720866 WLQ720866 WVM720866 E786402 JA786402 SW786402 ACS786402 AMO786402 AWK786402 BGG786402 BQC786402 BZY786402 CJU786402 CTQ786402 DDM786402 DNI786402 DXE786402 EHA786402 EQW786402 FAS786402 FKO786402 FUK786402 GEG786402 GOC786402 GXY786402 HHU786402 HRQ786402 IBM786402 ILI786402 IVE786402 JFA786402 JOW786402 JYS786402 KIO786402 KSK786402 LCG786402 LMC786402 LVY786402 MFU786402 MPQ786402 MZM786402 NJI786402 NTE786402 ODA786402 OMW786402 OWS786402 PGO786402 PQK786402 QAG786402 QKC786402 QTY786402 RDU786402 RNQ786402 RXM786402 SHI786402 SRE786402 TBA786402 TKW786402 TUS786402 UEO786402 UOK786402 UYG786402 VIC786402 VRY786402 WBU786402 WLQ786402 WVM786402 E851938 JA851938 SW851938 ACS851938 AMO851938 AWK851938 BGG851938 BQC851938 BZY851938 CJU851938 CTQ851938 DDM851938 DNI851938 DXE851938 EHA851938 EQW851938 FAS851938 FKO851938 FUK851938 GEG851938 GOC851938 GXY851938 HHU851938 HRQ851938 IBM851938 ILI851938 IVE851938 JFA851938 JOW851938 JYS851938 KIO851938 KSK851938 LCG851938 LMC851938 LVY851938 MFU851938 MPQ851938 MZM851938 NJI851938 NTE851938 ODA851938 OMW851938 OWS851938 PGO851938 PQK851938 QAG851938 QKC851938 QTY851938 RDU851938 RNQ851938 RXM851938 SHI851938 SRE851938 TBA851938 TKW851938 TUS851938 UEO851938 UOK851938 UYG851938 VIC851938 VRY851938 WBU851938 WLQ851938 WVM851938 E917474 JA917474 SW917474 ACS917474 AMO917474 AWK917474 BGG917474 BQC917474 BZY917474 CJU917474 CTQ917474 DDM917474 DNI917474 DXE917474 EHA917474 EQW917474 FAS917474 FKO917474 FUK917474 GEG917474 GOC917474 GXY917474 HHU917474 HRQ917474 IBM917474 ILI917474 IVE917474 JFA917474 JOW917474 JYS917474 KIO917474 KSK917474 LCG917474 LMC917474 LVY917474 MFU917474 MPQ917474 MZM917474 NJI917474 NTE917474 ODA917474 OMW917474 OWS917474 PGO917474 PQK917474 QAG917474 QKC917474 QTY917474 RDU917474 RNQ917474 RXM917474 SHI917474 SRE917474 TBA917474 TKW917474 TUS917474 UEO917474 UOK917474 UYG917474 VIC917474 VRY917474 WBU917474 WLQ917474 WVM917474 E983010 JA983010 SW983010 ACS983010 AMO983010 AWK983010 BGG983010 BQC983010 BZY983010 CJU983010 CTQ983010 DDM983010 DNI983010 DXE983010 EHA983010 EQW983010 FAS983010 FKO983010 FUK983010 GEG983010 GOC983010 GXY983010 HHU983010 HRQ983010 IBM983010 ILI983010 IVE983010 JFA983010 JOW983010 JYS983010 KIO983010 KSK983010 LCG983010 LMC983010 LVY983010 MFU983010 MPQ983010 MZM983010 NJI983010 NTE983010 ODA983010 OMW983010 OWS983010 PGO983010 PQK983010 QAG983010 QKC983010 QTY983010 RDU983010 RNQ983010 RXM983010 SHI983010 SRE983010 TBA983010 TKW983010 TUS983010 UEO983010 UOK983010 UYG983010 VIC983010 VRY983010 WBU983010 WLQ983010 WVM983010 E16 JA16 SW16 ACS16 AMO16 AWK16 BGG16 BQC16 BZY16 CJU16 CTQ16 DDM16 DNI16 DXE16 EHA16 EQW16 FAS16 FKO16 FUK16 GEG16 GOC16 GXY16 HHU16 HRQ16 IBM16 ILI16 IVE16 JFA16 JOW16 JYS16 KIO16 KSK16 LCG16 LMC16 LVY16 MFU16 MPQ16 MZM16 NJI16 NTE16 ODA16 OMW16 OWS16 PGO16 PQK16 QAG16 QKC16 QTY16 RDU16 RNQ16 RXM16 SHI16 SRE16 TBA16 TKW16 TUS16 UEO16 UOK16 UYG16 VIC16 VRY16 WBU16 WLQ16 WVM16 E65511 JA65511 SW65511 ACS65511 AMO65511 AWK65511 BGG65511 BQC65511 BZY65511 CJU65511 CTQ65511 DDM65511 DNI65511 DXE65511 EHA65511 EQW65511 FAS65511 FKO65511 FUK65511 GEG65511 GOC65511 GXY65511 HHU65511 HRQ65511 IBM65511 ILI65511 IVE65511 JFA65511 JOW65511 JYS65511 KIO65511 KSK65511 LCG65511 LMC65511 LVY65511 MFU65511 MPQ65511 MZM65511 NJI65511 NTE65511 ODA65511 OMW65511 OWS65511 PGO65511 PQK65511 QAG65511 QKC65511 QTY65511 RDU65511 RNQ65511 RXM65511 SHI65511 SRE65511 TBA65511 TKW65511 TUS65511 UEO65511 UOK65511 UYG65511 VIC65511 VRY65511 WBU65511 WLQ65511 WVM65511 E131047 JA131047 SW131047 ACS131047 AMO131047 AWK131047 BGG131047 BQC131047 BZY131047 CJU131047 CTQ131047 DDM131047 DNI131047 DXE131047 EHA131047 EQW131047 FAS131047 FKO131047 FUK131047 GEG131047 GOC131047 GXY131047 HHU131047 HRQ131047 IBM131047 ILI131047 IVE131047 JFA131047 JOW131047 JYS131047 KIO131047 KSK131047 LCG131047 LMC131047 LVY131047 MFU131047 MPQ131047 MZM131047 NJI131047 NTE131047 ODA131047 OMW131047 OWS131047 PGO131047 PQK131047 QAG131047 QKC131047 QTY131047 RDU131047 RNQ131047 RXM131047 SHI131047 SRE131047 TBA131047 TKW131047 TUS131047 UEO131047 UOK131047 UYG131047 VIC131047 VRY131047 WBU131047 WLQ131047 WVM131047 E196583 JA196583 SW196583 ACS196583 AMO196583 AWK196583 BGG196583 BQC196583 BZY196583 CJU196583 CTQ196583 DDM196583 DNI196583 DXE196583 EHA196583 EQW196583 FAS196583 FKO196583 FUK196583 GEG196583 GOC196583 GXY196583 HHU196583 HRQ196583 IBM196583 ILI196583 IVE196583 JFA196583 JOW196583 JYS196583 KIO196583 KSK196583 LCG196583 LMC196583 LVY196583 MFU196583 MPQ196583 MZM196583 NJI196583 NTE196583 ODA196583 OMW196583 OWS196583 PGO196583 PQK196583 QAG196583 QKC196583 QTY196583 RDU196583 RNQ196583 RXM196583 SHI196583 SRE196583 TBA196583 TKW196583 TUS196583 UEO196583 UOK196583 UYG196583 VIC196583 VRY196583 WBU196583 WLQ196583 WVM196583 E262119 JA262119 SW262119 ACS262119 AMO262119 AWK262119 BGG262119 BQC262119 BZY262119 CJU262119 CTQ262119 DDM262119 DNI262119 DXE262119 EHA262119 EQW262119 FAS262119 FKO262119 FUK262119 GEG262119 GOC262119 GXY262119 HHU262119 HRQ262119 IBM262119 ILI262119 IVE262119 JFA262119 JOW262119 JYS262119 KIO262119 KSK262119 LCG262119 LMC262119 LVY262119 MFU262119 MPQ262119 MZM262119 NJI262119 NTE262119 ODA262119 OMW262119 OWS262119 PGO262119 PQK262119 QAG262119 QKC262119 QTY262119 RDU262119 RNQ262119 RXM262119 SHI262119 SRE262119 TBA262119 TKW262119 TUS262119 UEO262119 UOK262119 UYG262119 VIC262119 VRY262119 WBU262119 WLQ262119 WVM262119 E327655 JA327655 SW327655 ACS327655 AMO327655 AWK327655 BGG327655 BQC327655 BZY327655 CJU327655 CTQ327655 DDM327655 DNI327655 DXE327655 EHA327655 EQW327655 FAS327655 FKO327655 FUK327655 GEG327655 GOC327655 GXY327655 HHU327655 HRQ327655 IBM327655 ILI327655 IVE327655 JFA327655 JOW327655 JYS327655 KIO327655 KSK327655 LCG327655 LMC327655 LVY327655 MFU327655 MPQ327655 MZM327655 NJI327655 NTE327655 ODA327655 OMW327655 OWS327655 PGO327655 PQK327655 QAG327655 QKC327655 QTY327655 RDU327655 RNQ327655 RXM327655 SHI327655 SRE327655 TBA327655 TKW327655 TUS327655 UEO327655 UOK327655 UYG327655 VIC327655 VRY327655 WBU327655 WLQ327655 WVM327655 E393191 JA393191 SW393191 ACS393191 AMO393191 AWK393191 BGG393191 BQC393191 BZY393191 CJU393191 CTQ393191 DDM393191 DNI393191 DXE393191 EHA393191 EQW393191 FAS393191 FKO393191 FUK393191 GEG393191 GOC393191 GXY393191 HHU393191 HRQ393191 IBM393191 ILI393191 IVE393191 JFA393191 JOW393191 JYS393191 KIO393191 KSK393191 LCG393191 LMC393191 LVY393191 MFU393191 MPQ393191 MZM393191 NJI393191 NTE393191 ODA393191 OMW393191 OWS393191 PGO393191 PQK393191 QAG393191 QKC393191 QTY393191 RDU393191 RNQ393191 RXM393191 SHI393191 SRE393191 TBA393191 TKW393191 TUS393191 UEO393191 UOK393191 UYG393191 VIC393191 VRY393191 WBU393191 WLQ393191 WVM393191 E458727 JA458727 SW458727 ACS458727 AMO458727 AWK458727 BGG458727 BQC458727 BZY458727 CJU458727 CTQ458727 DDM458727 DNI458727 DXE458727 EHA458727 EQW458727 FAS458727 FKO458727 FUK458727 GEG458727 GOC458727 GXY458727 HHU458727 HRQ458727 IBM458727 ILI458727 IVE458727 JFA458727 JOW458727 JYS458727 KIO458727 KSK458727 LCG458727 LMC458727 LVY458727 MFU458727 MPQ458727 MZM458727 NJI458727 NTE458727 ODA458727 OMW458727 OWS458727 PGO458727 PQK458727 QAG458727 QKC458727 QTY458727 RDU458727 RNQ458727 RXM458727 SHI458727 SRE458727 TBA458727 TKW458727 TUS458727 UEO458727 UOK458727 UYG458727 VIC458727 VRY458727 WBU458727 WLQ458727 WVM458727 E524263 JA524263 SW524263 ACS524263 AMO524263 AWK524263 BGG524263 BQC524263 BZY524263 CJU524263 CTQ524263 DDM524263 DNI524263 DXE524263 EHA524263 EQW524263 FAS524263 FKO524263 FUK524263 GEG524263 GOC524263 GXY524263 HHU524263 HRQ524263 IBM524263 ILI524263 IVE524263 JFA524263 JOW524263 JYS524263 KIO524263 KSK524263 LCG524263 LMC524263 LVY524263 MFU524263 MPQ524263 MZM524263 NJI524263 NTE524263 ODA524263 OMW524263 OWS524263 PGO524263 PQK524263 QAG524263 QKC524263 QTY524263 RDU524263 RNQ524263 RXM524263 SHI524263 SRE524263 TBA524263 TKW524263 TUS524263 UEO524263 UOK524263 UYG524263 VIC524263 VRY524263 WBU524263 WLQ524263 WVM524263 E589799 JA589799 SW589799 ACS589799 AMO589799 AWK589799 BGG589799 BQC589799 BZY589799 CJU589799 CTQ589799 DDM589799 DNI589799 DXE589799 EHA589799 EQW589799 FAS589799 FKO589799 FUK589799 GEG589799 GOC589799 GXY589799 HHU589799 HRQ589799 IBM589799 ILI589799 IVE589799 JFA589799 JOW589799 JYS589799 KIO589799 KSK589799 LCG589799 LMC589799 LVY589799 MFU589799 MPQ589799 MZM589799 NJI589799 NTE589799 ODA589799 OMW589799 OWS589799 PGO589799 PQK589799 QAG589799 QKC589799 QTY589799 RDU589799 RNQ589799 RXM589799 SHI589799 SRE589799 TBA589799 TKW589799 TUS589799 UEO589799 UOK589799 UYG589799 VIC589799 VRY589799 WBU589799 WLQ589799 WVM589799 E655335 JA655335 SW655335 ACS655335 AMO655335 AWK655335 BGG655335 BQC655335 BZY655335 CJU655335 CTQ655335 DDM655335 DNI655335 DXE655335 EHA655335 EQW655335 FAS655335 FKO655335 FUK655335 GEG655335 GOC655335 GXY655335 HHU655335 HRQ655335 IBM655335 ILI655335 IVE655335 JFA655335 JOW655335 JYS655335 KIO655335 KSK655335 LCG655335 LMC655335 LVY655335 MFU655335 MPQ655335 MZM655335 NJI655335 NTE655335 ODA655335 OMW655335 OWS655335 PGO655335 PQK655335 QAG655335 QKC655335 QTY655335 RDU655335 RNQ655335 RXM655335 SHI655335 SRE655335 TBA655335 TKW655335 TUS655335 UEO655335 UOK655335 UYG655335 VIC655335 VRY655335 WBU655335 WLQ655335 WVM655335 E720871 JA720871 SW720871 ACS720871 AMO720871 AWK720871 BGG720871 BQC720871 BZY720871 CJU720871 CTQ720871 DDM720871 DNI720871 DXE720871 EHA720871 EQW720871 FAS720871 FKO720871 FUK720871 GEG720871 GOC720871 GXY720871 HHU720871 HRQ720871 IBM720871 ILI720871 IVE720871 JFA720871 JOW720871 JYS720871 KIO720871 KSK720871 LCG720871 LMC720871 LVY720871 MFU720871 MPQ720871 MZM720871 NJI720871 NTE720871 ODA720871 OMW720871 OWS720871 PGO720871 PQK720871 QAG720871 QKC720871 QTY720871 RDU720871 RNQ720871 RXM720871 SHI720871 SRE720871 TBA720871 TKW720871 TUS720871 UEO720871 UOK720871 UYG720871 VIC720871 VRY720871 WBU720871 WLQ720871 WVM720871 E786407 JA786407 SW786407 ACS786407 AMO786407 AWK786407 BGG786407 BQC786407 BZY786407 CJU786407 CTQ786407 DDM786407 DNI786407 DXE786407 EHA786407 EQW786407 FAS786407 FKO786407 FUK786407 GEG786407 GOC786407 GXY786407 HHU786407 HRQ786407 IBM786407 ILI786407 IVE786407 JFA786407 JOW786407 JYS786407 KIO786407 KSK786407 LCG786407 LMC786407 LVY786407 MFU786407 MPQ786407 MZM786407 NJI786407 NTE786407 ODA786407 OMW786407 OWS786407 PGO786407 PQK786407 QAG786407 QKC786407 QTY786407 RDU786407 RNQ786407 RXM786407 SHI786407 SRE786407 TBA786407 TKW786407 TUS786407 UEO786407 UOK786407 UYG786407 VIC786407 VRY786407 WBU786407 WLQ786407 WVM786407 E851943 JA851943 SW851943 ACS851943 AMO851943 AWK851943 BGG851943 BQC851943 BZY851943 CJU851943 CTQ851943 DDM851943 DNI851943 DXE851943 EHA851943 EQW851943 FAS851943 FKO851943 FUK851943 GEG851943 GOC851943 GXY851943 HHU851943 HRQ851943 IBM851943 ILI851943 IVE851943 JFA851943 JOW851943 JYS851943 KIO851943 KSK851943 LCG851943 LMC851943 LVY851943 MFU851943 MPQ851943 MZM851943 NJI851943 NTE851943 ODA851943 OMW851943 OWS851943 PGO851943 PQK851943 QAG851943 QKC851943 QTY851943 RDU851943 RNQ851943 RXM851943 SHI851943 SRE851943 TBA851943 TKW851943 TUS851943 UEO851943 UOK851943 UYG851943 VIC851943 VRY851943 WBU851943 WLQ851943 WVM851943 E917479 JA917479 SW917479 ACS917479 AMO917479 AWK917479 BGG917479 BQC917479 BZY917479 CJU917479 CTQ917479 DDM917479 DNI917479 DXE917479 EHA917479 EQW917479 FAS917479 FKO917479 FUK917479 GEG917479 GOC917479 GXY917479 HHU917479 HRQ917479 IBM917479 ILI917479 IVE917479 JFA917479 JOW917479 JYS917479 KIO917479 KSK917479 LCG917479 LMC917479 LVY917479 MFU917479 MPQ917479 MZM917479 NJI917479 NTE917479 ODA917479 OMW917479 OWS917479 PGO917479 PQK917479 QAG917479 QKC917479 QTY917479 RDU917479 RNQ917479 RXM917479 SHI917479 SRE917479 TBA917479 TKW917479 TUS917479 UEO917479 UOK917479 UYG917479 VIC917479 VRY917479 WBU917479 WLQ917479 WVM917479 E983015 JA983015 SW983015 ACS983015 AMO983015 AWK983015 BGG983015 BQC983015 BZY983015 CJU983015 CTQ983015 DDM983015 DNI983015 DXE983015 EHA983015 EQW983015 FAS983015 FKO983015 FUK983015 GEG983015 GOC983015 GXY983015 HHU983015 HRQ983015 IBM983015 ILI983015 IVE983015 JFA983015 JOW983015 JYS983015 KIO983015 KSK983015 LCG983015 LMC983015 LVY983015 MFU983015 MPQ983015 MZM983015 NJI983015 NTE983015 ODA983015 OMW983015 OWS983015 PGO983015 PQK983015 QAG983015 QKC983015 QTY983015 RDU983015 RNQ983015 RXM983015 SHI983015 SRE983015 TBA983015 TKW983015 TUS983015 UEO983015 UOK983015 UYG983015 VIC983015 VRY983015 WBU983015 WLQ983015 WVM983015" xr:uid="{00000000-0002-0000-0100-000006000000}">
      <formula1>$P$9:$P$11</formula1>
    </dataValidation>
    <dataValidation type="list" allowBlank="1" showInputMessage="1" showErrorMessage="1" sqref="E13 JA13 SW13 ACS13 AMO13 AWK13 BGG13 BQC13 BZY13 CJU13 CTQ13 DDM13 DNI13 DXE13 EHA13 EQW13 FAS13 FKO13 FUK13 GEG13 GOC13 GXY13 HHU13 HRQ13 IBM13 ILI13 IVE13 JFA13 JOW13 JYS13 KIO13 KSK13 LCG13 LMC13 LVY13 MFU13 MPQ13 MZM13 NJI13 NTE13 ODA13 OMW13 OWS13 PGO13 PQK13 QAG13 QKC13 QTY13 RDU13 RNQ13 RXM13 SHI13 SRE13 TBA13 TKW13 TUS13 UEO13 UOK13 UYG13 VIC13 VRY13 WBU13 WLQ13 WVM13 E65508 JA65508 SW65508 ACS65508 AMO65508 AWK65508 BGG65508 BQC65508 BZY65508 CJU65508 CTQ65508 DDM65508 DNI65508 DXE65508 EHA65508 EQW65508 FAS65508 FKO65508 FUK65508 GEG65508 GOC65508 GXY65508 HHU65508 HRQ65508 IBM65508 ILI65508 IVE65508 JFA65508 JOW65508 JYS65508 KIO65508 KSK65508 LCG65508 LMC65508 LVY65508 MFU65508 MPQ65508 MZM65508 NJI65508 NTE65508 ODA65508 OMW65508 OWS65508 PGO65508 PQK65508 QAG65508 QKC65508 QTY65508 RDU65508 RNQ65508 RXM65508 SHI65508 SRE65508 TBA65508 TKW65508 TUS65508 UEO65508 UOK65508 UYG65508 VIC65508 VRY65508 WBU65508 WLQ65508 WVM65508 E131044 JA131044 SW131044 ACS131044 AMO131044 AWK131044 BGG131044 BQC131044 BZY131044 CJU131044 CTQ131044 DDM131044 DNI131044 DXE131044 EHA131044 EQW131044 FAS131044 FKO131044 FUK131044 GEG131044 GOC131044 GXY131044 HHU131044 HRQ131044 IBM131044 ILI131044 IVE131044 JFA131044 JOW131044 JYS131044 KIO131044 KSK131044 LCG131044 LMC131044 LVY131044 MFU131044 MPQ131044 MZM131044 NJI131044 NTE131044 ODA131044 OMW131044 OWS131044 PGO131044 PQK131044 QAG131044 QKC131044 QTY131044 RDU131044 RNQ131044 RXM131044 SHI131044 SRE131044 TBA131044 TKW131044 TUS131044 UEO131044 UOK131044 UYG131044 VIC131044 VRY131044 WBU131044 WLQ131044 WVM131044 E196580 JA196580 SW196580 ACS196580 AMO196580 AWK196580 BGG196580 BQC196580 BZY196580 CJU196580 CTQ196580 DDM196580 DNI196580 DXE196580 EHA196580 EQW196580 FAS196580 FKO196580 FUK196580 GEG196580 GOC196580 GXY196580 HHU196580 HRQ196580 IBM196580 ILI196580 IVE196580 JFA196580 JOW196580 JYS196580 KIO196580 KSK196580 LCG196580 LMC196580 LVY196580 MFU196580 MPQ196580 MZM196580 NJI196580 NTE196580 ODA196580 OMW196580 OWS196580 PGO196580 PQK196580 QAG196580 QKC196580 QTY196580 RDU196580 RNQ196580 RXM196580 SHI196580 SRE196580 TBA196580 TKW196580 TUS196580 UEO196580 UOK196580 UYG196580 VIC196580 VRY196580 WBU196580 WLQ196580 WVM196580 E262116 JA262116 SW262116 ACS262116 AMO262116 AWK262116 BGG262116 BQC262116 BZY262116 CJU262116 CTQ262116 DDM262116 DNI262116 DXE262116 EHA262116 EQW262116 FAS262116 FKO262116 FUK262116 GEG262116 GOC262116 GXY262116 HHU262116 HRQ262116 IBM262116 ILI262116 IVE262116 JFA262116 JOW262116 JYS262116 KIO262116 KSK262116 LCG262116 LMC262116 LVY262116 MFU262116 MPQ262116 MZM262116 NJI262116 NTE262116 ODA262116 OMW262116 OWS262116 PGO262116 PQK262116 QAG262116 QKC262116 QTY262116 RDU262116 RNQ262116 RXM262116 SHI262116 SRE262116 TBA262116 TKW262116 TUS262116 UEO262116 UOK262116 UYG262116 VIC262116 VRY262116 WBU262116 WLQ262116 WVM262116 E327652 JA327652 SW327652 ACS327652 AMO327652 AWK327652 BGG327652 BQC327652 BZY327652 CJU327652 CTQ327652 DDM327652 DNI327652 DXE327652 EHA327652 EQW327652 FAS327652 FKO327652 FUK327652 GEG327652 GOC327652 GXY327652 HHU327652 HRQ327652 IBM327652 ILI327652 IVE327652 JFA327652 JOW327652 JYS327652 KIO327652 KSK327652 LCG327652 LMC327652 LVY327652 MFU327652 MPQ327652 MZM327652 NJI327652 NTE327652 ODA327652 OMW327652 OWS327652 PGO327652 PQK327652 QAG327652 QKC327652 QTY327652 RDU327652 RNQ327652 RXM327652 SHI327652 SRE327652 TBA327652 TKW327652 TUS327652 UEO327652 UOK327652 UYG327652 VIC327652 VRY327652 WBU327652 WLQ327652 WVM327652 E393188 JA393188 SW393188 ACS393188 AMO393188 AWK393188 BGG393188 BQC393188 BZY393188 CJU393188 CTQ393188 DDM393188 DNI393188 DXE393188 EHA393188 EQW393188 FAS393188 FKO393188 FUK393188 GEG393188 GOC393188 GXY393188 HHU393188 HRQ393188 IBM393188 ILI393188 IVE393188 JFA393188 JOW393188 JYS393188 KIO393188 KSK393188 LCG393188 LMC393188 LVY393188 MFU393188 MPQ393188 MZM393188 NJI393188 NTE393188 ODA393188 OMW393188 OWS393188 PGO393188 PQK393188 QAG393188 QKC393188 QTY393188 RDU393188 RNQ393188 RXM393188 SHI393188 SRE393188 TBA393188 TKW393188 TUS393188 UEO393188 UOK393188 UYG393188 VIC393188 VRY393188 WBU393188 WLQ393188 WVM393188 E458724 JA458724 SW458724 ACS458724 AMO458724 AWK458724 BGG458724 BQC458724 BZY458724 CJU458724 CTQ458724 DDM458724 DNI458724 DXE458724 EHA458724 EQW458724 FAS458724 FKO458724 FUK458724 GEG458724 GOC458724 GXY458724 HHU458724 HRQ458724 IBM458724 ILI458724 IVE458724 JFA458724 JOW458724 JYS458724 KIO458724 KSK458724 LCG458724 LMC458724 LVY458724 MFU458724 MPQ458724 MZM458724 NJI458724 NTE458724 ODA458724 OMW458724 OWS458724 PGO458724 PQK458724 QAG458724 QKC458724 QTY458724 RDU458724 RNQ458724 RXM458724 SHI458724 SRE458724 TBA458724 TKW458724 TUS458724 UEO458724 UOK458724 UYG458724 VIC458724 VRY458724 WBU458724 WLQ458724 WVM458724 E524260 JA524260 SW524260 ACS524260 AMO524260 AWK524260 BGG524260 BQC524260 BZY524260 CJU524260 CTQ524260 DDM524260 DNI524260 DXE524260 EHA524260 EQW524260 FAS524260 FKO524260 FUK524260 GEG524260 GOC524260 GXY524260 HHU524260 HRQ524260 IBM524260 ILI524260 IVE524260 JFA524260 JOW524260 JYS524260 KIO524260 KSK524260 LCG524260 LMC524260 LVY524260 MFU524260 MPQ524260 MZM524260 NJI524260 NTE524260 ODA524260 OMW524260 OWS524260 PGO524260 PQK524260 QAG524260 QKC524260 QTY524260 RDU524260 RNQ524260 RXM524260 SHI524260 SRE524260 TBA524260 TKW524260 TUS524260 UEO524260 UOK524260 UYG524260 VIC524260 VRY524260 WBU524260 WLQ524260 WVM524260 E589796 JA589796 SW589796 ACS589796 AMO589796 AWK589796 BGG589796 BQC589796 BZY589796 CJU589796 CTQ589796 DDM589796 DNI589796 DXE589796 EHA589796 EQW589796 FAS589796 FKO589796 FUK589796 GEG589796 GOC589796 GXY589796 HHU589796 HRQ589796 IBM589796 ILI589796 IVE589796 JFA589796 JOW589796 JYS589796 KIO589796 KSK589796 LCG589796 LMC589796 LVY589796 MFU589796 MPQ589796 MZM589796 NJI589796 NTE589796 ODA589796 OMW589796 OWS589796 PGO589796 PQK589796 QAG589796 QKC589796 QTY589796 RDU589796 RNQ589796 RXM589796 SHI589796 SRE589796 TBA589796 TKW589796 TUS589796 UEO589796 UOK589796 UYG589796 VIC589796 VRY589796 WBU589796 WLQ589796 WVM589796 E655332 JA655332 SW655332 ACS655332 AMO655332 AWK655332 BGG655332 BQC655332 BZY655332 CJU655332 CTQ655332 DDM655332 DNI655332 DXE655332 EHA655332 EQW655332 FAS655332 FKO655332 FUK655332 GEG655332 GOC655332 GXY655332 HHU655332 HRQ655332 IBM655332 ILI655332 IVE655332 JFA655332 JOW655332 JYS655332 KIO655332 KSK655332 LCG655332 LMC655332 LVY655332 MFU655332 MPQ655332 MZM655332 NJI655332 NTE655332 ODA655332 OMW655332 OWS655332 PGO655332 PQK655332 QAG655332 QKC655332 QTY655332 RDU655332 RNQ655332 RXM655332 SHI655332 SRE655332 TBA655332 TKW655332 TUS655332 UEO655332 UOK655332 UYG655332 VIC655332 VRY655332 WBU655332 WLQ655332 WVM655332 E720868 JA720868 SW720868 ACS720868 AMO720868 AWK720868 BGG720868 BQC720868 BZY720868 CJU720868 CTQ720868 DDM720868 DNI720868 DXE720868 EHA720868 EQW720868 FAS720868 FKO720868 FUK720868 GEG720868 GOC720868 GXY720868 HHU720868 HRQ720868 IBM720868 ILI720868 IVE720868 JFA720868 JOW720868 JYS720868 KIO720868 KSK720868 LCG720868 LMC720868 LVY720868 MFU720868 MPQ720868 MZM720868 NJI720868 NTE720868 ODA720868 OMW720868 OWS720868 PGO720868 PQK720868 QAG720868 QKC720868 QTY720868 RDU720868 RNQ720868 RXM720868 SHI720868 SRE720868 TBA720868 TKW720868 TUS720868 UEO720868 UOK720868 UYG720868 VIC720868 VRY720868 WBU720868 WLQ720868 WVM720868 E786404 JA786404 SW786404 ACS786404 AMO786404 AWK786404 BGG786404 BQC786404 BZY786404 CJU786404 CTQ786404 DDM786404 DNI786404 DXE786404 EHA786404 EQW786404 FAS786404 FKO786404 FUK786404 GEG786404 GOC786404 GXY786404 HHU786404 HRQ786404 IBM786404 ILI786404 IVE786404 JFA786404 JOW786404 JYS786404 KIO786404 KSK786404 LCG786404 LMC786404 LVY786404 MFU786404 MPQ786404 MZM786404 NJI786404 NTE786404 ODA786404 OMW786404 OWS786404 PGO786404 PQK786404 QAG786404 QKC786404 QTY786404 RDU786404 RNQ786404 RXM786404 SHI786404 SRE786404 TBA786404 TKW786404 TUS786404 UEO786404 UOK786404 UYG786404 VIC786404 VRY786404 WBU786404 WLQ786404 WVM786404 E851940 JA851940 SW851940 ACS851940 AMO851940 AWK851940 BGG851940 BQC851940 BZY851940 CJU851940 CTQ851940 DDM851940 DNI851940 DXE851940 EHA851940 EQW851940 FAS851940 FKO851940 FUK851940 GEG851940 GOC851940 GXY851940 HHU851940 HRQ851940 IBM851940 ILI851940 IVE851940 JFA851940 JOW851940 JYS851940 KIO851940 KSK851940 LCG851940 LMC851940 LVY851940 MFU851940 MPQ851940 MZM851940 NJI851940 NTE851940 ODA851940 OMW851940 OWS851940 PGO851940 PQK851940 QAG851940 QKC851940 QTY851940 RDU851940 RNQ851940 RXM851940 SHI851940 SRE851940 TBA851940 TKW851940 TUS851940 UEO851940 UOK851940 UYG851940 VIC851940 VRY851940 WBU851940 WLQ851940 WVM851940 E917476 JA917476 SW917476 ACS917476 AMO917476 AWK917476 BGG917476 BQC917476 BZY917476 CJU917476 CTQ917476 DDM917476 DNI917476 DXE917476 EHA917476 EQW917476 FAS917476 FKO917476 FUK917476 GEG917476 GOC917476 GXY917476 HHU917476 HRQ917476 IBM917476 ILI917476 IVE917476 JFA917476 JOW917476 JYS917476 KIO917476 KSK917476 LCG917476 LMC917476 LVY917476 MFU917476 MPQ917476 MZM917476 NJI917476 NTE917476 ODA917476 OMW917476 OWS917476 PGO917476 PQK917476 QAG917476 QKC917476 QTY917476 RDU917476 RNQ917476 RXM917476 SHI917476 SRE917476 TBA917476 TKW917476 TUS917476 UEO917476 UOK917476 UYG917476 VIC917476 VRY917476 WBU917476 WLQ917476 WVM917476 E983012 JA983012 SW983012 ACS983012 AMO983012 AWK983012 BGG983012 BQC983012 BZY983012 CJU983012 CTQ983012 DDM983012 DNI983012 DXE983012 EHA983012 EQW983012 FAS983012 FKO983012 FUK983012 GEG983012 GOC983012 GXY983012 HHU983012 HRQ983012 IBM983012 ILI983012 IVE983012 JFA983012 JOW983012 JYS983012 KIO983012 KSK983012 LCG983012 LMC983012 LVY983012 MFU983012 MPQ983012 MZM983012 NJI983012 NTE983012 ODA983012 OMW983012 OWS983012 PGO983012 PQK983012 QAG983012 QKC983012 QTY983012 RDU983012 RNQ983012 RXM983012 SHI983012 SRE983012 TBA983012 TKW983012 TUS983012 UEO983012 UOK983012 UYG983012 VIC983012 VRY983012 WBU983012 WLQ983012 WVM983012 E18 JA18 SW18 ACS18 AMO18 AWK18 BGG18 BQC18 BZY18 CJU18 CTQ18 DDM18 DNI18 DXE18 EHA18 EQW18 FAS18 FKO18 FUK18 GEG18 GOC18 GXY18 HHU18 HRQ18 IBM18 ILI18 IVE18 JFA18 JOW18 JYS18 KIO18 KSK18 LCG18 LMC18 LVY18 MFU18 MPQ18 MZM18 NJI18 NTE18 ODA18 OMW18 OWS18 PGO18 PQK18 QAG18 QKC18 QTY18 RDU18 RNQ18 RXM18 SHI18 SRE18 TBA18 TKW18 TUS18 UEO18 UOK18 UYG18 VIC18 VRY18 WBU18 WLQ18 WVM18 E65513 JA65513 SW65513 ACS65513 AMO65513 AWK65513 BGG65513 BQC65513 BZY65513 CJU65513 CTQ65513 DDM65513 DNI65513 DXE65513 EHA65513 EQW65513 FAS65513 FKO65513 FUK65513 GEG65513 GOC65513 GXY65513 HHU65513 HRQ65513 IBM65513 ILI65513 IVE65513 JFA65513 JOW65513 JYS65513 KIO65513 KSK65513 LCG65513 LMC65513 LVY65513 MFU65513 MPQ65513 MZM65513 NJI65513 NTE65513 ODA65513 OMW65513 OWS65513 PGO65513 PQK65513 QAG65513 QKC65513 QTY65513 RDU65513 RNQ65513 RXM65513 SHI65513 SRE65513 TBA65513 TKW65513 TUS65513 UEO65513 UOK65513 UYG65513 VIC65513 VRY65513 WBU65513 WLQ65513 WVM65513 E131049 JA131049 SW131049 ACS131049 AMO131049 AWK131049 BGG131049 BQC131049 BZY131049 CJU131049 CTQ131049 DDM131049 DNI131049 DXE131049 EHA131049 EQW131049 FAS131049 FKO131049 FUK131049 GEG131049 GOC131049 GXY131049 HHU131049 HRQ131049 IBM131049 ILI131049 IVE131049 JFA131049 JOW131049 JYS131049 KIO131049 KSK131049 LCG131049 LMC131049 LVY131049 MFU131049 MPQ131049 MZM131049 NJI131049 NTE131049 ODA131049 OMW131049 OWS131049 PGO131049 PQK131049 QAG131049 QKC131049 QTY131049 RDU131049 RNQ131049 RXM131049 SHI131049 SRE131049 TBA131049 TKW131049 TUS131049 UEO131049 UOK131049 UYG131049 VIC131049 VRY131049 WBU131049 WLQ131049 WVM131049 E196585 JA196585 SW196585 ACS196585 AMO196585 AWK196585 BGG196585 BQC196585 BZY196585 CJU196585 CTQ196585 DDM196585 DNI196585 DXE196585 EHA196585 EQW196585 FAS196585 FKO196585 FUK196585 GEG196585 GOC196585 GXY196585 HHU196585 HRQ196585 IBM196585 ILI196585 IVE196585 JFA196585 JOW196585 JYS196585 KIO196585 KSK196585 LCG196585 LMC196585 LVY196585 MFU196585 MPQ196585 MZM196585 NJI196585 NTE196585 ODA196585 OMW196585 OWS196585 PGO196585 PQK196585 QAG196585 QKC196585 QTY196585 RDU196585 RNQ196585 RXM196585 SHI196585 SRE196585 TBA196585 TKW196585 TUS196585 UEO196585 UOK196585 UYG196585 VIC196585 VRY196585 WBU196585 WLQ196585 WVM196585 E262121 JA262121 SW262121 ACS262121 AMO262121 AWK262121 BGG262121 BQC262121 BZY262121 CJU262121 CTQ262121 DDM262121 DNI262121 DXE262121 EHA262121 EQW262121 FAS262121 FKO262121 FUK262121 GEG262121 GOC262121 GXY262121 HHU262121 HRQ262121 IBM262121 ILI262121 IVE262121 JFA262121 JOW262121 JYS262121 KIO262121 KSK262121 LCG262121 LMC262121 LVY262121 MFU262121 MPQ262121 MZM262121 NJI262121 NTE262121 ODA262121 OMW262121 OWS262121 PGO262121 PQK262121 QAG262121 QKC262121 QTY262121 RDU262121 RNQ262121 RXM262121 SHI262121 SRE262121 TBA262121 TKW262121 TUS262121 UEO262121 UOK262121 UYG262121 VIC262121 VRY262121 WBU262121 WLQ262121 WVM262121 E327657 JA327657 SW327657 ACS327657 AMO327657 AWK327657 BGG327657 BQC327657 BZY327657 CJU327657 CTQ327657 DDM327657 DNI327657 DXE327657 EHA327657 EQW327657 FAS327657 FKO327657 FUK327657 GEG327657 GOC327657 GXY327657 HHU327657 HRQ327657 IBM327657 ILI327657 IVE327657 JFA327657 JOW327657 JYS327657 KIO327657 KSK327657 LCG327657 LMC327657 LVY327657 MFU327657 MPQ327657 MZM327657 NJI327657 NTE327657 ODA327657 OMW327657 OWS327657 PGO327657 PQK327657 QAG327657 QKC327657 QTY327657 RDU327657 RNQ327657 RXM327657 SHI327657 SRE327657 TBA327657 TKW327657 TUS327657 UEO327657 UOK327657 UYG327657 VIC327657 VRY327657 WBU327657 WLQ327657 WVM327657 E393193 JA393193 SW393193 ACS393193 AMO393193 AWK393193 BGG393193 BQC393193 BZY393193 CJU393193 CTQ393193 DDM393193 DNI393193 DXE393193 EHA393193 EQW393193 FAS393193 FKO393193 FUK393193 GEG393193 GOC393193 GXY393193 HHU393193 HRQ393193 IBM393193 ILI393193 IVE393193 JFA393193 JOW393193 JYS393193 KIO393193 KSK393193 LCG393193 LMC393193 LVY393193 MFU393193 MPQ393193 MZM393193 NJI393193 NTE393193 ODA393193 OMW393193 OWS393193 PGO393193 PQK393193 QAG393193 QKC393193 QTY393193 RDU393193 RNQ393193 RXM393193 SHI393193 SRE393193 TBA393193 TKW393193 TUS393193 UEO393193 UOK393193 UYG393193 VIC393193 VRY393193 WBU393193 WLQ393193 WVM393193 E458729 JA458729 SW458729 ACS458729 AMO458729 AWK458729 BGG458729 BQC458729 BZY458729 CJU458729 CTQ458729 DDM458729 DNI458729 DXE458729 EHA458729 EQW458729 FAS458729 FKO458729 FUK458729 GEG458729 GOC458729 GXY458729 HHU458729 HRQ458729 IBM458729 ILI458729 IVE458729 JFA458729 JOW458729 JYS458729 KIO458729 KSK458729 LCG458729 LMC458729 LVY458729 MFU458729 MPQ458729 MZM458729 NJI458729 NTE458729 ODA458729 OMW458729 OWS458729 PGO458729 PQK458729 QAG458729 QKC458729 QTY458729 RDU458729 RNQ458729 RXM458729 SHI458729 SRE458729 TBA458729 TKW458729 TUS458729 UEO458729 UOK458729 UYG458729 VIC458729 VRY458729 WBU458729 WLQ458729 WVM458729 E524265 JA524265 SW524265 ACS524265 AMO524265 AWK524265 BGG524265 BQC524265 BZY524265 CJU524265 CTQ524265 DDM524265 DNI524265 DXE524265 EHA524265 EQW524265 FAS524265 FKO524265 FUK524265 GEG524265 GOC524265 GXY524265 HHU524265 HRQ524265 IBM524265 ILI524265 IVE524265 JFA524265 JOW524265 JYS524265 KIO524265 KSK524265 LCG524265 LMC524265 LVY524265 MFU524265 MPQ524265 MZM524265 NJI524265 NTE524265 ODA524265 OMW524265 OWS524265 PGO524265 PQK524265 QAG524265 QKC524265 QTY524265 RDU524265 RNQ524265 RXM524265 SHI524265 SRE524265 TBA524265 TKW524265 TUS524265 UEO524265 UOK524265 UYG524265 VIC524265 VRY524265 WBU524265 WLQ524265 WVM524265 E589801 JA589801 SW589801 ACS589801 AMO589801 AWK589801 BGG589801 BQC589801 BZY589801 CJU589801 CTQ589801 DDM589801 DNI589801 DXE589801 EHA589801 EQW589801 FAS589801 FKO589801 FUK589801 GEG589801 GOC589801 GXY589801 HHU589801 HRQ589801 IBM589801 ILI589801 IVE589801 JFA589801 JOW589801 JYS589801 KIO589801 KSK589801 LCG589801 LMC589801 LVY589801 MFU589801 MPQ589801 MZM589801 NJI589801 NTE589801 ODA589801 OMW589801 OWS589801 PGO589801 PQK589801 QAG589801 QKC589801 QTY589801 RDU589801 RNQ589801 RXM589801 SHI589801 SRE589801 TBA589801 TKW589801 TUS589801 UEO589801 UOK589801 UYG589801 VIC589801 VRY589801 WBU589801 WLQ589801 WVM589801 E655337 JA655337 SW655337 ACS655337 AMO655337 AWK655337 BGG655337 BQC655337 BZY655337 CJU655337 CTQ655337 DDM655337 DNI655337 DXE655337 EHA655337 EQW655337 FAS655337 FKO655337 FUK655337 GEG655337 GOC655337 GXY655337 HHU655337 HRQ655337 IBM655337 ILI655337 IVE655337 JFA655337 JOW655337 JYS655337 KIO655337 KSK655337 LCG655337 LMC655337 LVY655337 MFU655337 MPQ655337 MZM655337 NJI655337 NTE655337 ODA655337 OMW655337 OWS655337 PGO655337 PQK655337 QAG655337 QKC655337 QTY655337 RDU655337 RNQ655337 RXM655337 SHI655337 SRE655337 TBA655337 TKW655337 TUS655337 UEO655337 UOK655337 UYG655337 VIC655337 VRY655337 WBU655337 WLQ655337 WVM655337 E720873 JA720873 SW720873 ACS720873 AMO720873 AWK720873 BGG720873 BQC720873 BZY720873 CJU720873 CTQ720873 DDM720873 DNI720873 DXE720873 EHA720873 EQW720873 FAS720873 FKO720873 FUK720873 GEG720873 GOC720873 GXY720873 HHU720873 HRQ720873 IBM720873 ILI720873 IVE720873 JFA720873 JOW720873 JYS720873 KIO720873 KSK720873 LCG720873 LMC720873 LVY720873 MFU720873 MPQ720873 MZM720873 NJI720873 NTE720873 ODA720873 OMW720873 OWS720873 PGO720873 PQK720873 QAG720873 QKC720873 QTY720873 RDU720873 RNQ720873 RXM720873 SHI720873 SRE720873 TBA720873 TKW720873 TUS720873 UEO720873 UOK720873 UYG720873 VIC720873 VRY720873 WBU720873 WLQ720873 WVM720873 E786409 JA786409 SW786409 ACS786409 AMO786409 AWK786409 BGG786409 BQC786409 BZY786409 CJU786409 CTQ786409 DDM786409 DNI786409 DXE786409 EHA786409 EQW786409 FAS786409 FKO786409 FUK786409 GEG786409 GOC786409 GXY786409 HHU786409 HRQ786409 IBM786409 ILI786409 IVE786409 JFA786409 JOW786409 JYS786409 KIO786409 KSK786409 LCG786409 LMC786409 LVY786409 MFU786409 MPQ786409 MZM786409 NJI786409 NTE786409 ODA786409 OMW786409 OWS786409 PGO786409 PQK786409 QAG786409 QKC786409 QTY786409 RDU786409 RNQ786409 RXM786409 SHI786409 SRE786409 TBA786409 TKW786409 TUS786409 UEO786409 UOK786409 UYG786409 VIC786409 VRY786409 WBU786409 WLQ786409 WVM786409 E851945 JA851945 SW851945 ACS851945 AMO851945 AWK851945 BGG851945 BQC851945 BZY851945 CJU851945 CTQ851945 DDM851945 DNI851945 DXE851945 EHA851945 EQW851945 FAS851945 FKO851945 FUK851945 GEG851945 GOC851945 GXY851945 HHU851945 HRQ851945 IBM851945 ILI851945 IVE851945 JFA851945 JOW851945 JYS851945 KIO851945 KSK851945 LCG851945 LMC851945 LVY851945 MFU851945 MPQ851945 MZM851945 NJI851945 NTE851945 ODA851945 OMW851945 OWS851945 PGO851945 PQK851945 QAG851945 QKC851945 QTY851945 RDU851945 RNQ851945 RXM851945 SHI851945 SRE851945 TBA851945 TKW851945 TUS851945 UEO851945 UOK851945 UYG851945 VIC851945 VRY851945 WBU851945 WLQ851945 WVM851945 E917481 JA917481 SW917481 ACS917481 AMO917481 AWK917481 BGG917481 BQC917481 BZY917481 CJU917481 CTQ917481 DDM917481 DNI917481 DXE917481 EHA917481 EQW917481 FAS917481 FKO917481 FUK917481 GEG917481 GOC917481 GXY917481 HHU917481 HRQ917481 IBM917481 ILI917481 IVE917481 JFA917481 JOW917481 JYS917481 KIO917481 KSK917481 LCG917481 LMC917481 LVY917481 MFU917481 MPQ917481 MZM917481 NJI917481 NTE917481 ODA917481 OMW917481 OWS917481 PGO917481 PQK917481 QAG917481 QKC917481 QTY917481 RDU917481 RNQ917481 RXM917481 SHI917481 SRE917481 TBA917481 TKW917481 TUS917481 UEO917481 UOK917481 UYG917481 VIC917481 VRY917481 WBU917481 WLQ917481 WVM917481 E983017 JA983017 SW983017 ACS983017 AMO983017 AWK983017 BGG983017 BQC983017 BZY983017 CJU983017 CTQ983017 DDM983017 DNI983017 DXE983017 EHA983017 EQW983017 FAS983017 FKO983017 FUK983017 GEG983017 GOC983017 GXY983017 HHU983017 HRQ983017 IBM983017 ILI983017 IVE983017 JFA983017 JOW983017 JYS983017 KIO983017 KSK983017 LCG983017 LMC983017 LVY983017 MFU983017 MPQ983017 MZM983017 NJI983017 NTE983017 ODA983017 OMW983017 OWS983017 PGO983017 PQK983017 QAG983017 QKC983017 QTY983017 RDU983017 RNQ983017 RXM983017 SHI983017 SRE983017 TBA983017 TKW983017 TUS983017 UEO983017 UOK983017 UYG983017 VIC983017 VRY983017 WBU983017 WLQ983017 WVM983017" xr:uid="{00000000-0002-0000-0100-000007000000}">
      <formula1>$P$15:$P$16</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1:E11"/>
  <sheetViews>
    <sheetView workbookViewId="0">
      <selection activeCell="G15" sqref="G15"/>
    </sheetView>
  </sheetViews>
  <sheetFormatPr baseColWidth="10" defaultRowHeight="15" x14ac:dyDescent="0.25"/>
  <sheetData>
    <row r="11" spans="2:5" x14ac:dyDescent="0.25">
      <c r="B11" s="92" t="s">
        <v>154</v>
      </c>
      <c r="C11" s="92"/>
      <c r="D11" s="92"/>
      <c r="E11" s="92"/>
    </row>
  </sheetData>
  <mergeCells count="1">
    <mergeCell ref="B11:E1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19B151B82D38940A01757953CF638FC" ma:contentTypeVersion="16" ma:contentTypeDescription="Create a new document." ma:contentTypeScope="" ma:versionID="ffb06184495df82c7dd5bba27c6612de">
  <xsd:schema xmlns:xsd="http://www.w3.org/2001/XMLSchema" xmlns:xs="http://www.w3.org/2001/XMLSchema" xmlns:p="http://schemas.microsoft.com/office/2006/metadata/properties" xmlns:ns3="72356287-6c51-4b3c-86d4-024174e67e91" xmlns:ns4="5f2e59e4-8c2d-4add-a5f5-c309b4ca3ebc" targetNamespace="http://schemas.microsoft.com/office/2006/metadata/properties" ma:root="true" ma:fieldsID="12b06c6d6de952a9b5f1ab6ad2769e31" ns3:_="" ns4:_="">
    <xsd:import namespace="72356287-6c51-4b3c-86d4-024174e67e91"/>
    <xsd:import namespace="5f2e59e4-8c2d-4add-a5f5-c309b4ca3ebc"/>
    <xsd:element name="properties">
      <xsd:complexType>
        <xsd:sequence>
          <xsd:element name="documentManagement">
            <xsd:complexType>
              <xsd:all>
                <xsd:element ref="ns3:SharedWithUsers" minOccurs="0"/>
                <xsd:element ref="ns3:SharedWithDetails" minOccurs="0"/>
                <xsd:element ref="ns3:SharingHintHash"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Location" minOccurs="0"/>
                <xsd:element ref="ns4:MediaServiceEventHashCode" minOccurs="0"/>
                <xsd:element ref="ns4:MediaServiceGenerationTime" minOccurs="0"/>
                <xsd:element ref="ns4:MediaServiceAutoKeyPoints" minOccurs="0"/>
                <xsd:element ref="ns4:MediaServiceKeyPoint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356287-6c51-4b3c-86d4-024174e67e9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internalName="SharingHintHash" ma:readOnly="true">
      <xsd:simpleType>
        <xsd:restriction base="dms:Text"/>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f2e59e4-8c2d-4add-a5f5-c309b4ca3ebc"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AutoTags" ma:index="16" nillable="true" ma:displayName="MediaServiceAutoTags" ma:description="" ma:internalName="MediaServiceAutoTags"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Location" ma:index="18" nillable="true" ma:displayName="MediaServiceLocation" ma:internalName="MediaServiceLocation"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99083D-083A-49D5-BAFA-AB398997C1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356287-6c51-4b3c-86d4-024174e67e91"/>
    <ds:schemaRef ds:uri="5f2e59e4-8c2d-4add-a5f5-c309b4ca3e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7C7561-EF00-45DB-9DFA-6691A71C3DC2}">
  <ds:schemaRefs>
    <ds:schemaRef ds:uri="http://purl.org/dc/dcmitype/"/>
    <ds:schemaRef ds:uri="http://schemas.microsoft.com/office/2006/documentManagement/types"/>
    <ds:schemaRef ds:uri="72356287-6c51-4b3c-86d4-024174e67e91"/>
    <ds:schemaRef ds:uri="http://schemas.microsoft.com/office/2006/metadata/properties"/>
    <ds:schemaRef ds:uri="http://www.w3.org/XML/1998/namespace"/>
    <ds:schemaRef ds:uri="http://schemas.openxmlformats.org/package/2006/metadata/core-properties"/>
    <ds:schemaRef ds:uri="http://purl.org/dc/elements/1.1/"/>
    <ds:schemaRef ds:uri="http://schemas.microsoft.com/office/infopath/2007/PartnerControls"/>
    <ds:schemaRef ds:uri="5f2e59e4-8c2d-4add-a5f5-c309b4ca3ebc"/>
    <ds:schemaRef ds:uri="http://purl.org/dc/terms/"/>
  </ds:schemaRefs>
</ds:datastoreItem>
</file>

<file path=customXml/itemProps3.xml><?xml version="1.0" encoding="utf-8"?>
<ds:datastoreItem xmlns:ds="http://schemas.openxmlformats.org/officeDocument/2006/customXml" ds:itemID="{A2719954-9906-46DA-8B86-44E577C097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Plan de cambios</vt:lpstr>
      <vt:lpstr>Matriz de Impacto vs Riesgo</vt:lpstr>
      <vt:lpstr>VMs Asignadas</vt:lpstr>
      <vt:lpstr>Plan de recuperación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Marisol Váquez Carvajal</dc:creator>
  <cp:lastModifiedBy>FABIO ANDRES MARQUEZ ZAPATA</cp:lastModifiedBy>
  <cp:lastPrinted>2022-04-04T12:25:48Z</cp:lastPrinted>
  <dcterms:created xsi:type="dcterms:W3CDTF">2012-08-24T21:20:43Z</dcterms:created>
  <dcterms:modified xsi:type="dcterms:W3CDTF">2025-12-15T21:13:25Z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0x010100319B151B82D38940A01757953CF638FC</vt:lpwstr>
  </property>
</Properties>
</file>